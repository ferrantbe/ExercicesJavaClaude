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Synthèse" sheetId="2" state="visible" r:id="rId4"/>
    <sheet name="Déroulé" sheetId="3" state="visible" r:id="rId5"/>
  </sheets>
  <definedNames>
    <definedName function="false" hidden="true" localSheetId="2" name="_xlnm._FilterDatabase" vbProcedure="false">Déroulé!$A$1:$L$301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Utilisé pour les lignes « Slides » dont la durée est vide. Laissé vide : ces lignes comptent 0.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À saisir, en minutes. Pour une démonstration, prérempli avec la borne haute de sa page de garde.</t>
        </r>
      </text>
    </comment>
  </commentList>
</comments>
</file>

<file path=xl/sharedStrings.xml><?xml version="1.0" encoding="utf-8"?>
<sst xmlns="http://schemas.openxmlformats.org/spreadsheetml/2006/main" count="976" uniqueCount="349">
  <si>
    <t xml:space="preserve">Déroulé des modules</t>
  </si>
  <si>
    <t xml:space="preserve">Une ligne par étape, dans l'ordre réel des slides de chaque deck. La colonne « Type » dit ce qu'est chaque ligne, et la couleur le répète : voir la légende en bas de cette page.</t>
  </si>
  <si>
    <t xml:space="preserve">Ce qui se saisit (cellules jaunes)</t>
  </si>
  <si>
    <t xml:space="preserve">Déroulé, colonne « Durée (min) » : la durée de l'étape, en minutes. Les démonstrations sont préremplies avec la borne haute de leur page de garde (« 12 à 15 minutes » donne 15) ; la page de garde reste visible dans « Durée prévue (démo) ».</t>
  </si>
  <si>
    <t xml:space="preserve">Déroulé, colonne « Remarques » : libre.</t>
  </si>
  <si>
    <t xml:space="preserve">Synthèse, cellule C3 : un rythme en minutes par slide. Il sert d'estimation pour les lignes « Slides » sans durée saisie ; vide, ces lignes comptent 0.</t>
  </si>
  <si>
    <t xml:space="preserve">Ce qui se calcule</t>
  </si>
  <si>
    <t xml:space="preserve">« Nb slides », « Durée retenue », « Cumul module » et toute la Synthèse sont des formules : modifiez une durée, les totaux suivent.</t>
  </si>
  <si>
    <t xml:space="preserve">« Étapes sans durée » compte, par module, les étapes encore vides (sections exclues).</t>
  </si>
  <si>
    <t xml:space="preserve">Régénération</t>
  </si>
  <si>
    <t xml:space="preserve">python3 _outils/extraire_deroule.py relit les decks et réécrit ce classeur. Les durées, les remarques et le rythme déjà saisis sont conservés : une étape est reconnue par son module, son type et sa première slide. Si une slide est insérée avant une étape, sa première slide change, et sa saisie est à refaire.</t>
  </si>
  <si>
    <t xml:space="preserve">Les types de ligne (colonne « Type » du Déroulé)</t>
  </si>
  <si>
    <t xml:space="preserve">Section : ouvre une section du deck (son intercalaire)</t>
  </si>
  <si>
    <t xml:space="preserve">Slides : regroupe les slides de contenu de la section</t>
  </si>
  <si>
    <t xml:space="preserve">Démonstration : une démonstration, avec sa durée prévue</t>
  </si>
  <si>
    <t xml:space="preserve">Exercices : une slide d'exercices, avec les codes à faire</t>
  </si>
  <si>
    <t xml:space="preserve">Synthèse du déroulé</t>
  </si>
  <si>
    <t xml:space="preserve">Rythme des slides, en minutes par slide (hypothèse à saisir)</t>
  </si>
  <si>
    <t xml:space="preserve">Module</t>
  </si>
  <si>
    <t xml:space="preserve">Slides</t>
  </si>
  <si>
    <t xml:space="preserve">Démonstrations (min)</t>
  </si>
  <si>
    <t xml:space="preserve">Exercices (min)</t>
  </si>
  <si>
    <t xml:space="preserve">Slides (min)</t>
  </si>
  <si>
    <t xml:space="preserve">Total (min)</t>
  </si>
  <si>
    <t xml:space="preserve">Total (h:mm)</t>
  </si>
  <si>
    <t xml:space="preserve">Étapes sans durée</t>
  </si>
  <si>
    <t xml:space="preserve">INI</t>
  </si>
  <si>
    <t xml:space="preserve">POO</t>
  </si>
  <si>
    <t xml:space="preserve">TMP</t>
  </si>
  <si>
    <t xml:space="preserve">TAB</t>
  </si>
  <si>
    <t xml:space="preserve">ENU</t>
  </si>
  <si>
    <t xml:space="preserve">ABS</t>
  </si>
  <si>
    <t xml:space="preserve">ITF</t>
  </si>
  <si>
    <t xml:space="preserve">PKG</t>
  </si>
  <si>
    <t xml:space="preserve">COL</t>
  </si>
  <si>
    <t xml:space="preserve">EXC</t>
  </si>
  <si>
    <t xml:space="preserve">JUN</t>
  </si>
  <si>
    <t xml:space="preserve">GEN</t>
  </si>
  <si>
    <t xml:space="preserve">LAM</t>
  </si>
  <si>
    <t xml:space="preserve">FX1</t>
  </si>
  <si>
    <t xml:space="preserve">FX2</t>
  </si>
  <si>
    <t xml:space="preserve">FX3</t>
  </si>
  <si>
    <t xml:space="preserve">FIC</t>
  </si>
  <si>
    <t xml:space="preserve">Total</t>
  </si>
  <si>
    <t xml:space="preserve">N°</t>
  </si>
  <si>
    <t xml:space="preserve">Type</t>
  </si>
  <si>
    <t xml:space="preserve">De</t>
  </si>
  <si>
    <t xml:space="preserve">À</t>
  </si>
  <si>
    <t xml:space="preserve">Nb slides</t>
  </si>
  <si>
    <t xml:space="preserve">Étape</t>
  </si>
  <si>
    <t xml:space="preserve">Durée (min)</t>
  </si>
  <si>
    <t xml:space="preserve">Durée prévue (démo)</t>
  </si>
  <si>
    <t xml:space="preserve">Durée retenue (min)</t>
  </si>
  <si>
    <t xml:space="preserve">Cumul module (min)</t>
  </si>
  <si>
    <t xml:space="preserve">Remarques</t>
  </si>
  <si>
    <t xml:space="preserve">Au programme ; Qui suis-je? ; Contenu du cours ; Les modules du cours ; Critères de réussite et acquis d'apprentissage ; En d'autres termes, vous devez pouvoir… ; L'organisation pratique du cours ; … et l'examen? ; Le déroulé d'un module ; Les fascicules d'exercices ; Le projet ExercicesJava ; Les tests fournis ; Le fil rouge GameHub ; Le support imprimable</t>
  </si>
  <si>
    <t xml:space="preserve">Section</t>
  </si>
  <si>
    <t xml:space="preserve">Section 3. Les mémentos</t>
  </si>
  <si>
    <t xml:space="preserve">Quatre documents de référence ; Le mémento Exercices ; Le guide IntelliJ ; Le mémento technique ; Le mémento Clean Code ; Comment lire un renvoi ; Quelques liens utiles ; En résumé…</t>
  </si>
  <si>
    <t xml:space="preserve">Au programme</t>
  </si>
  <si>
    <t xml:space="preserve">Section 1. De C# à Java</t>
  </si>
  <si>
    <t xml:space="preserve">Pas de grosses différences niveau langage ; Structuration des classes ; Conventions de nommage différentes ; Lien entre fichier et classe ; Classes du Framework différentes ; Méthode main rend la classe exécutable ; Classe Java et Programme (exécutable) Java ; Du code source au programme ; En résumé…</t>
  </si>
  <si>
    <t xml:space="preserve">Section 2. Classe et objet</t>
  </si>
  <si>
    <t xml:space="preserve">Les quatre principes de la POO ; Classe et objet</t>
  </si>
  <si>
    <t xml:space="preserve">Démonstration</t>
  </si>
  <si>
    <t xml:space="preserve">Démonstration Demo_POO : Construire une classe, puis l'encapsuler (avant POO.1)</t>
  </si>
  <si>
    <t xml:space="preserve">12 à 15 minutes</t>
  </si>
  <si>
    <t xml:space="preserve">Le constructeur ; Le mot-clé this ; Un champ final ; La méthode toString</t>
  </si>
  <si>
    <t xml:space="preserve">Exercices</t>
  </si>
  <si>
    <t xml:space="preserve">Exercices : POO.1 Une première classe ; G.1 Le joueur ; G.2 La partie — Nommer : CC-NOM.1 et CC-NOM.5</t>
  </si>
  <si>
    <t xml:space="preserve">Section 3. Encapsulation</t>
  </si>
  <si>
    <t xml:space="preserve">Le problème d'un champ public ; Fermer les champs, ouvrir des accesseurs ; Ce que le détour permet ; Un accesseur n'est pas une obligation ; La donnée qui n'existe pas</t>
  </si>
  <si>
    <t xml:space="preserve">Exercices : POO.2 La même classe, encapsulée ; POO.3 L'âge n'est pas une donnée à stocker — Générer les accesseurs : IDE.12</t>
  </si>
  <si>
    <t xml:space="preserve">Section 4. static</t>
  </si>
  <si>
    <t xml:space="preserve">Champs et méthodes de classe ; Champs d’objets ; Champ de classe ; Nommer un champ de classe</t>
  </si>
  <si>
    <t xml:space="preserve">Démonstration Demo_STA : Ce qui appartient à la classe, ce qui appartient à l'objet (avant STA.1)</t>
  </si>
  <si>
    <t xml:space="preserve">10 minutes</t>
  </si>
  <si>
    <t xml:space="preserve">Un compteur d'instances ; Méthodes de classe ; Une méthode statique n'a pas de this ; Les constantes ; À quoi servent les méthodes de classe ; Les fabriques</t>
  </si>
  <si>
    <t xml:space="preserve">Exercices : STA.1 Une constante et un compteur d'instances ; STA.2 Un constructeur privé et des fabriques — Le débogueur : IDE.19</t>
  </si>
  <si>
    <t xml:space="preserve">Section 5. Entrée de données au clavier</t>
  </si>
  <si>
    <t xml:space="preserve">Pour les entrées au clavier, on utilise la classe Scanner… ; La Javadoc ; La documentation de Scanner ; Les principales méthodes de Scanner ; Un piège : nextInt suivi de nextLine</t>
  </si>
  <si>
    <t xml:space="preserve">Exercices : POO.4 Saisie au clavier, première partie seulement ; G.3 Le point d'entrée</t>
  </si>
  <si>
    <t xml:space="preserve">Section 6. Primitifs et références</t>
  </si>
  <si>
    <t xml:space="preserve">Types primitifs vs Objets ; Deux noms, un seul objet</t>
  </si>
  <si>
    <t xml:space="preserve">Exercices : POO.4 Saisie au clavier, seconde partie — Observez, puis expliquez par écrit, avant de passer à la slide suivante</t>
  </si>
  <si>
    <t xml:space="preserve">Ce que vous avez observé</t>
  </si>
  <si>
    <t xml:space="preserve">Section 7. Les wrappers</t>
  </si>
  <si>
    <t xml:space="preserve">Types primitifs et Wrappers ; Ce qu'offrent les wrappers ; Séparer le calcul du dialogue</t>
  </si>
  <si>
    <t xml:space="preserve">Exercices : POO.5 Changement de base, et logique testable — La Javadoc de Integer.parseInt(String, int) : IDE.14</t>
  </si>
  <si>
    <t xml:space="preserve">En résumé</t>
  </si>
  <si>
    <t xml:space="preserve">Section 1. Les classes de java.time</t>
  </si>
  <si>
    <t xml:space="preserve">Une date, c'est plus compliqué qu'il n'y paraît ; Les trois classes du quotidien ; Laquelle choisir ? ; Tout est dans le JDK ; Fabriquer une date ; Lire un morceau de date ; Comparer deux dates ; Quelques exemples avec LocalDate ; L'heure seule ; Quelques exemples avec LocalTime ; Les deux à la fois</t>
  </si>
  <si>
    <t xml:space="preserve">Démonstration Demo_TMP : Explorer une classe du JDK sans quitter l'éditeur (avant TMP.1)</t>
  </si>
  <si>
    <t xml:space="preserve">12 minutes</t>
  </si>
  <si>
    <t xml:space="preserve">Section 2. Mesurer un écart</t>
  </si>
  <si>
    <t xml:space="preserve">ChronoUnit, l'unité de mesure ; Deux pièges de comptage</t>
  </si>
  <si>
    <t xml:space="preserve">Exercices : TMP.1 Mesurer un écart entre deux dates</t>
  </si>
  <si>
    <t xml:space="preserve">Section 3. Une date ne change pas</t>
  </si>
  <si>
    <t xml:space="preserve">Décaler une date</t>
  </si>
  <si>
    <t xml:space="preserve">Exercices : TMP.2 Les dates sont immuables — Exécutez d'abord le Programme fourni, et lisez sa sortie</t>
  </si>
  <si>
    <t xml:space="preserve">Retour sur « Décaler une date »</t>
  </si>
  <si>
    <t xml:space="preserve">Section 4. Un détour par l'affichage</t>
  </si>
  <si>
    <t xml:space="preserve">println et print ; printf : un gabarit et des valeurs ; Les gabarits utiles ; La locale décide du séparateur ; String.format, la version testable</t>
  </si>
  <si>
    <t xml:space="preserve">Section 5. Date ou instant ?</t>
  </si>
  <si>
    <t xml:space="preserve">Ce que LocalDate ne contient pas</t>
  </si>
  <si>
    <t xml:space="preserve">Exercices : TMP.3 Compter des secondes : date ou instant ? — Décommentez la ligne signalée et lisez le message</t>
  </si>
  <si>
    <t xml:space="preserve">Retour sur « Ce que LocalDate ne contient pas »</t>
  </si>
  <si>
    <t xml:space="preserve">Section 6. L'arithmétique du calendrier</t>
  </si>
  <si>
    <t xml:space="preserve">Ajouter des mois</t>
  </si>
  <si>
    <t xml:space="preserve">Exercices : TMP.4 L'arithmétique des mois</t>
  </si>
  <si>
    <t xml:space="preserve">Retour sur « Ajouter des mois »</t>
  </si>
  <si>
    <t xml:space="preserve">Section 7. Period ou Duration</t>
  </si>
  <si>
    <t xml:space="preserve">Period, les unités du calendrier ; Duration, les unités de l’horloge</t>
  </si>
  <si>
    <t xml:space="preserve">Exercices : TMP.5 Period ou Duration</t>
  </si>
  <si>
    <t xml:space="preserve">Retour sur « Duration, les unités de l’horloge »</t>
  </si>
  <si>
    <t xml:space="preserve">Section 8. Une date et son texte</t>
  </si>
  <si>
    <t xml:space="preserve">De la date vers le texte ; Du texte vers la date</t>
  </si>
  <si>
    <t xml:space="preserve">Exercices : TMP.6 Formater et analyser une date — Analysez "31/02/2027" et regardez ce que vous obtenez</t>
  </si>
  <si>
    <t xml:space="preserve">Retour - l'indulgence silencieuse ; Ce qu'il faut retenir</t>
  </si>
  <si>
    <t xml:space="preserve">Section 1. Un tableau, c'est une taille fixe</t>
  </si>
  <si>
    <t xml:space="preserve">Démonstration Demo_TAB : Cinq pièges, et pourquoi ils existent (Séance 6, en ouverture du thème)</t>
  </si>
  <si>
    <t xml:space="preserve">20 minutes</t>
  </si>
  <si>
    <t xml:space="preserve">Déclarer un tableau ; Ce que la démonstration a montré ; Un tableau de tableaux</t>
  </si>
  <si>
    <t xml:space="preserve">Section 2. Parcourir un tableau</t>
  </si>
  <si>
    <t xml:space="preserve">La boucle indexée ; La boucle for-each ; Laquelle choisir ; Deux boucles imbriquées</t>
  </si>
  <si>
    <t xml:space="preserve">Exercices : TAB.1 Une matrice carrée — carree construit, enTexte met en forme, aucune des deux n'affiche</t>
  </si>
  <si>
    <t xml:space="preserve">Section 3. Lignes de tailles différentes</t>
  </si>
  <si>
    <t xml:space="preserve">Déclarer les lignes une par une</t>
  </si>
  <si>
    <t xml:space="preserve">Exercices : TAB.2 Le triangle de Pascal — Deux boucles for-each imbriquées pour l'affichage</t>
  </si>
  <si>
    <t xml:space="preserve">Section 4. L'opérateur ternaire</t>
  </si>
  <si>
    <t xml:space="preserve">La syntaxe ; Ce qu'un if ne permet pas ; Où s'arrête l'intérêt</t>
  </si>
  <si>
    <t xml:space="preserve">Exercices : TAB.3 L'opérateur ternaire — Deux méthodes, une instruction chacune</t>
  </si>
  <si>
    <t xml:space="preserve">Section 5. Des objets qui se connaissent</t>
  </si>
  <si>
    <t xml:space="preserve">Un objet peut en contenir un autre ; Ne pas stocker ce qui se déduit ; Un tableau de taille fixe dans un objet</t>
  </si>
  <si>
    <t xml:space="preserve">Exercices : TAB.4 Des objets qui se connaissent — Quatre classes, un format de texte imposé</t>
  </si>
  <si>
    <t xml:space="preserve">Ce qu'il faut retenir</t>
  </si>
  <si>
    <t xml:space="preserve">Section 1. Des valeurs qui se comptent</t>
  </si>
  <si>
    <t xml:space="preserve">Trois couleurs, pas une de plus ; Il existe d'autres types que la classe</t>
  </si>
  <si>
    <t xml:space="preserve">Section 2. Déclarer une énumération</t>
  </si>
  <si>
    <t xml:space="preserve">Déclarer une énumération ; Ce que toute énumération sait faire ; L'ordre de déclaration des valeurs compte</t>
  </si>
  <si>
    <t xml:space="preserve">Section 3. L'ordre porte l'information</t>
  </si>
  <si>
    <t xml:space="preserve">Démonstration Demo_ENU : Le cycle sans conditions (avant ENU.1)</t>
  </si>
  <si>
    <t xml:space="preserve">Pour passer à la valeur suivante ; Ce que ce détour fait gagner</t>
  </si>
  <si>
    <t xml:space="preserve">Exercices : ENU.1 Un feu de signalisation</t>
  </si>
  <si>
    <t xml:space="preserve">Section 4. Comparer et aiguiller : switch</t>
  </si>
  <si>
    <t xml:space="preserve">Comparer deux valeurs ; Aiguiller : la forme classique ; Aiguiller : la forme à flèches ; Un switch qui retourne une valeur ; Tous les cas, sans oubli</t>
  </si>
  <si>
    <t xml:space="preserve">Exercices : ENU.2 Une température, deux unités — Nommer : CC-MET.4</t>
  </si>
  <si>
    <t xml:space="preserve">Section 5. Une enum est une classe</t>
  </si>
  <si>
    <t xml:space="preserve">Une enum peut contenir des données ; Trois détails de syntaxe ; Un jeu de cartes, avec des enums ; Le modèle du jeu ; Toutes les combinaisons</t>
  </si>
  <si>
    <t xml:space="preserve">Section 6. Un détour par deux outils</t>
  </si>
  <si>
    <t xml:space="preserve">Tirer un nombre au hasard ; Assembler un String avec un séparateur</t>
  </si>
  <si>
    <t xml:space="preserve">Exercices : ENU.3 Un jeu de cartes — Documenter : CC-COM.3</t>
  </si>
  <si>
    <t xml:space="preserve">Section 7. Les records</t>
  </si>
  <si>
    <t xml:space="preserve">Une donnée, et rien d'autre ; Ce que le compilateur écrit ; Un record ne change pas ; Ajouter une méthode ; Valider à la construction ; Quand le record ne convient pas</t>
  </si>
  <si>
    <t xml:space="preserve">Exercices : ENU.4 Un record d'étudiant — Concevoir : CC-OBJ.2</t>
  </si>
  <si>
    <t xml:space="preserve">Le fil rouge</t>
  </si>
  <si>
    <t xml:space="preserve">Section 1. L'héritage en Java</t>
  </si>
  <si>
    <t xml:space="preserve">Une classe qui reprend une autre ; Appeler le constructeur de la classe mère ; Redéfinir une méthode ; Ce que la fille voit de la mère ; De C# à Java ; A une personne, ou est une personne ?</t>
  </si>
  <si>
    <t xml:space="preserve">Section 2. Le même code, trois fois</t>
  </si>
  <si>
    <t xml:space="preserve">Un exemple : prévenir un utilisateur ; Trois classes, un seul comportement ; Ce qu'on ne peut pas faire</t>
  </si>
  <si>
    <t xml:space="preserve">Démonstration Demo_ABS : Laisser l'outil supprimer la duplication (avant ABS.1)</t>
  </si>
  <si>
    <t xml:space="preserve">Le geste, pas le code</t>
  </si>
  <si>
    <t xml:space="preserve">Section 3. La classe abstraite</t>
  </si>
  <si>
    <t xml:space="preserve">Une classe qu'on ne peut pas instancier ; À quoi sert un type qu'on ne construit pas ; Un constructeur, quand même</t>
  </si>
  <si>
    <t xml:space="preserve">Section 4. Ce qui monte, ce qui descend</t>
  </si>
  <si>
    <t xml:space="preserve">La méthode abstraite ; La règle de partage ; L'obligation faite aux sous-classes ; @Override, aussi pour une méthode abstraite ; Petit détour : le reste d'une division négative</t>
  </si>
  <si>
    <t xml:space="preserve">Exercices : ABS.1 Des formes géométriques — Concevoir : CC-CLS.3</t>
  </si>
  <si>
    <t xml:space="preserve">Section 5. Le polymorphisme</t>
  </si>
  <si>
    <t xml:space="preserve">Un tableau du type le plus général ; Qui répond à l'appel ; Ni instanceof, ni test de type</t>
  </si>
  <si>
    <t xml:space="preserve">Exercices : ABS.2 Des animaux qui font du bruit — Concevoir : CC-CLS.4</t>
  </si>
  <si>
    <t xml:space="preserve">Section 6. La mère appelle la fille</t>
  </si>
  <si>
    <t xml:space="preserve">De quoi il s'agit ; Le squelette, puis le détail ; Deux banques, un seul traitement ; Pourquoi protected ; La mesure de la réussite</t>
  </si>
  <si>
    <t xml:space="preserve">Exercices : ABS.3 Deux banques, un seul traitement</t>
  </si>
  <si>
    <t xml:space="preserve">Section 7. Deux étages</t>
  </si>
  <si>
    <t xml:space="preserve">Une classe abstraite peut en étendre une autre ; Où placer chaque champ ; Implémenter sans définir</t>
  </si>
  <si>
    <t xml:space="preserve">Exercices : ABS.4 Une hiérarchie à deux niveaux — À faire après le module ITF</t>
  </si>
  <si>
    <t xml:space="preserve">Section 8. Décider soi-même</t>
  </si>
  <si>
    <t xml:space="preserve">Quand il n'y a plus de squelette</t>
  </si>
  <si>
    <t xml:space="preserve">Exercices : ABS.5 Tout écrire, à partir de rien ; G.10 La classe abstraite Jeu — Attention à la borne : « jusqu'à 50 g » inclut les 50 g…</t>
  </si>
  <si>
    <t xml:space="preserve">Section 1. Ce qu'une interface déclare</t>
  </si>
  <si>
    <t xml:space="preserve">Démonstration Demo_ITF : Trois mots, et le programme accepte l'inconnu (avant ITF.1)</t>
  </si>
  <si>
    <t xml:space="preserve">Déclarer une interface ; Une classe s'engage ; Le type peut être l'interface ; Recevoir un comportement en paramètre</t>
  </si>
  <si>
    <t xml:space="preserve">Exercices : ITF.1 Une interface et deux implémentations ; ITF.2 Payer en ligne — Écrire : CC-MET.7</t>
  </si>
  <si>
    <t xml:space="preserve">Section 2. Plusieurs interfaces à la fois</t>
  </si>
  <si>
    <t xml:space="preserve">Une seule mère, autant d'interfaces qu'on veut ; Un comportement qui traverse les familles ; Où écrire la méthode</t>
  </si>
  <si>
    <t xml:space="preserve">Exercices : ITF.3 Des formes qui se déplacent et tournent — Les formes d'ABS.1 sont reprises ici, complètes ; Concevoir : CC-CLS.3</t>
  </si>
  <si>
    <t xml:space="preserve">Section 3. Interface ou classe abstraite ?</t>
  </si>
  <si>
    <t xml:space="preserve">Deux outils, deux intentions ; Les deux ensemble</t>
  </si>
  <si>
    <t xml:space="preserve">Exercices : ABS.4 Une hiérarchie à deux niveaux — Annoncé au module ABS, il devient faisable maintenant</t>
  </si>
  <si>
    <t xml:space="preserve">Section 4. Dépendre d'un contrat</t>
  </si>
  <si>
    <t xml:space="preserve">Le modèle MVC : qui fait quoi ; Deux classes qui se tiennent ; Une interface entre les deux ; Le type le plus faible qui suffit ; Des transports et une station-service ; Un comportement qui ne suit pas la hiérarchie ; L'interface supprime le test</t>
  </si>
  <si>
    <t xml:space="preserve">Section 5. Le patron Observateur</t>
  </si>
  <si>
    <t xml:space="preserve">Un patron de conception ; Le problème réglé par le patron Observateur ; Le dispositif ; Ce que ça change</t>
  </si>
  <si>
    <t xml:space="preserve">Exercices : ITF.4 Prévenir sans connaître — Vous ne modifiez ni le Magasin, ni l'interface, ni les deux autres abonnés</t>
  </si>
  <si>
    <t xml:space="preserve">Section 6. Autres caractéristiques de l’interface</t>
  </si>
  <si>
    <t xml:space="preserve">Des constantes, et des méthodes utilitaires ; Ajouter une méthode sans casser l'existant ; Une interface sans aucune méthode ; Une interface, une seule méthode ; Le fil rouge</t>
  </si>
  <si>
    <t xml:space="preserve">Section 1. Un package, un dossier</t>
  </si>
  <si>
    <t xml:space="preserve">Ranger une classe ; Le nom complet d'une classe ; Un sous-package est un package à part ; Deux dossiers, un seul package</t>
  </si>
  <si>
    <t xml:space="preserve">Section 2. Le niveau sans mot-clé</t>
  </si>
  <si>
    <t xml:space="preserve">Qui peut atteindre le membre d'une classe ; Le niveau qu'on choisit sans le savoir</t>
  </si>
  <si>
    <t xml:space="preserve">Démonstration Demo_PKG : Déménager une classe, et voir ce qui casse (Séance 5, avant les exercices PKG)</t>
  </si>
  <si>
    <t xml:space="preserve">20 à 25 minutes</t>
  </si>
  <si>
    <t xml:space="preserve">Exercices : PKG.1 Ce que voit une classe du même package — Expérimenter d'abord : le test ne dit pas quelle ligne est fausse</t>
  </si>
  <si>
    <t xml:space="preserve">Section 3. Champ public ou accesseur</t>
  </si>
  <si>
    <t xml:space="preserve">Ce qu'un champ public promet ; Ce que l'accesseur garde</t>
  </si>
  <si>
    <t xml:space="preserve">Exercices : PKG.2 Ce que voit une classe d'un autre package — Concevoir : CC-OBJ.2</t>
  </si>
  <si>
    <t xml:space="preserve">Section 4. La surface publique</t>
  </si>
  <si>
    <t xml:space="preserve">Chaque membre public est une promesse ; Choisir, membre par membre ; Une seule classe publique par fichier</t>
  </si>
  <si>
    <t xml:space="preserve">Exercices : PKG.3 Réduire la surface publique d'une classe — Concevoir : CC-CLS.2</t>
  </si>
  <si>
    <t xml:space="preserve">Section 5. Découper en packages</t>
  </si>
  <si>
    <t xml:space="preserve">Ranger par responsabilité ; Les imports dessinent les dépendances ; Déplacer une classe avec l'outil</t>
  </si>
  <si>
    <t xml:space="preserve">Exercices : PKG.4 Découper un programme en packages — Concevoir : CC-CLS.1</t>
  </si>
  <si>
    <t xml:space="preserve">Section 6. Le quatrième niveau</t>
  </si>
  <si>
    <t xml:space="preserve">Le rappel du module ABS ; Les quatre niveaux ; Choisir protected</t>
  </si>
  <si>
    <t xml:space="preserve">Exercices : PKG.5 protected, ou ce que l'héritage ouvre — L'exercice ABS.4 vous laissait une décision de visibilité : vous pouvez la trancher</t>
  </si>
  <si>
    <t xml:space="preserve">Section 1. Une structure qui grandit</t>
  </si>
  <si>
    <t xml:space="preserve">Démonstration Demo_COL : Choisir une collection en se trompant d'abord (avant COL.1)</t>
  </si>
  <si>
    <t xml:space="preserve">Ce qu'on écrit entre chevrons ; Des objets, pas des types primitifs ; Déclarer par l'interface</t>
  </si>
  <si>
    <t xml:space="preserve">Section 2. Une liste, des positions</t>
  </si>
  <si>
    <t xml:space="preserve">Les opérations d'une liste ; Parcourir une collection ; ArrayList ou LinkedList ; Collection et Collections ; Nommer ses bornes</t>
  </si>
  <si>
    <t xml:space="preserve">Exercices : COL.1 Deux façons d'être trié ; COL.3 Lire des noms et les trier — Nommer : CC-NOM.7</t>
  </si>
  <si>
    <t xml:space="preserve">Section 3. Un ensemble, sans doublons</t>
  </si>
  <si>
    <t xml:space="preserve">Ce qu'un ensemble refuse ; Qui décide que deux éléments sont égaux ; Hash ou Tree</t>
  </si>
  <si>
    <t xml:space="preserve">Exercices : COL.6 Un ensemble sans doublons — Nommer : CC-NOM.7, encore</t>
  </si>
  <si>
    <t xml:space="preserve">Section 4. Une table, des clés</t>
  </si>
  <si>
    <t xml:space="preserve">Ranger et retrouver par clé ; Une clé absente ; Trois façons de parcourir une table</t>
  </si>
  <si>
    <t xml:space="preserve">Exercices : COL.2 Un annuaire ; COL.4 Compter les mots d'un texte</t>
  </si>
  <si>
    <t xml:space="preserve">Section 5. Passer un comportement</t>
  </si>
  <si>
    <t xml:space="preserve">Des méthodes ajoutées aux interfaces ; Une méthode qui reçoit un critère ; Écrire le critère dans une classe</t>
  </si>
  <si>
    <t xml:space="preserve">Exercices : COL.5 Filtrer avec un prédicat — Nommer : CC-NOM.7, une troisième fois</t>
  </si>
  <si>
    <t xml:space="preserve">Section 6. Des collections emboîtées</t>
  </si>
  <si>
    <t xml:space="preserve">Lire un type emboîté ; Créer au premier usage</t>
  </si>
  <si>
    <t xml:space="preserve">Exercices : COL.7 Une table de collections — Retourner : CC-ERR.2 et CC-OBJ.2</t>
  </si>
  <si>
    <t xml:space="preserve">Section 7. Une file, deux bouts</t>
  </si>
  <si>
    <t xml:space="preserve">Une file à deux bouts ; Prendre et remettre ; Le fil rouge ; Le fil rouge, suite</t>
  </si>
  <si>
    <t xml:space="preserve">Section 1. Un objet qui interrompt</t>
  </si>
  <si>
    <t xml:space="preserve">Démonstration Demo_EXC : Faire planter, lire la trace, corriger (avant EXC.1)</t>
  </si>
  <si>
    <t xml:space="preserve">10 à 12 minutes</t>
  </si>
  <si>
    <t xml:space="preserve">Vous levez déjà des exceptions ; Une exception est un objet ; Les exceptions remontent la pile ; Du throw au catch</t>
  </si>
  <si>
    <t xml:space="preserve">Section 2. Lever, et déclarer</t>
  </si>
  <si>
    <t xml:space="preserve">Écrire sa classe d'exception ; Lever avec throw, déclarer avec throws ; Attraper ou déclarer</t>
  </si>
  <si>
    <t xml:space="preserve">Exercices : EXC.1 Lever sa propre exception ; EXC.2 Un compte, sans exception — Messages : CC-ERR.4</t>
  </si>
  <si>
    <t xml:space="preserve">Section 3. Attraper là où l'on peut agir</t>
  </si>
  <si>
    <t xml:space="preserve">Ce que le try saute ; Plusieurs catch, ou un seul ; Un catch fait quelque chose ; Ce que finally garantit</t>
  </si>
  <si>
    <t xml:space="preserve">Exercices : EXC.3 Un numéro de compte vérifié ; EXC.6 Ce que finally garantit — Exceptions : CC-ERR.4, CC-ERR.5</t>
  </si>
  <si>
    <t xml:space="preserve">Section 4. Celles que le compilateur ne voit pas</t>
  </si>
  <si>
    <t xml:space="preserve">Une exception que personne n'annonce</t>
  </si>
  <si>
    <t xml:space="preserve">Exercices : EXC.4 Provoquer, puis traiter — D'abord sans aucun try</t>
  </si>
  <si>
    <t xml:space="preserve">Réutiliser plutôt que créer ; Lever une exception du JDK</t>
  </si>
  <si>
    <t xml:space="preserve">Exercices : EXC.5 Lire une trace — Pile d'appels : TEC-EXE.1</t>
  </si>
  <si>
    <t xml:space="preserve">Le fil rouge, relu</t>
  </si>
  <si>
    <t xml:space="preserve">Section 1. À vous d'écrire les tests</t>
  </si>
  <si>
    <t xml:space="preserve">Qui écrit quoi ; Un programme qui affiche ne vérifie rien</t>
  </si>
  <si>
    <t xml:space="preserve">Démonstration Demo_JUN : Rouge, vert, puis nettoyer (avant JUN.1)</t>
  </si>
  <si>
    <t xml:space="preserve">15 minutes</t>
  </si>
  <si>
    <t xml:space="preserve">Section 2. Ce qu'un test contient</t>
  </si>
  <si>
    <t xml:space="preserve">Où vit une classe de test ; @Test, puis une assertion ; Les assertions dont vous aurez besoin ; Un test rouge accuse le code, ou le test</t>
  </si>
  <si>
    <t xml:space="preserve">Exercices : JUN.1 Le test comme spécification — Lire CalculatriceTest avant d'écrire une ligne ; Tests : CC-TST.1, CC-TST.2</t>
  </si>
  <si>
    <t xml:space="preserve">Section 3. Vérifier tout le contrat</t>
  </si>
  <si>
    <t xml:space="preserve">Une documentation est une liste de tests ; Vérifier qu'une exception est levée ; Le throws d'une méthode de test ; Après l'échec, l'état</t>
  </si>
  <si>
    <t xml:space="preserve">Exercices : JUN.2 Détecter un défaut — Ne lisez pas le code des tirelires : faites-les travailler</t>
  </si>
  <si>
    <t xml:space="preserve">Section 4. Choisir ses cas, et les justifier</t>
  </si>
  <si>
    <t xml:space="preserve">Où se logent les défauts ; Un cas, un test, un nom ; Une valeur, un test ; Pour aller plus loin : @ParameterizedTest ; Chaque test repart de zéro ; Un test se justifie par le défaut qu'il attrape ; À l'examen : écrire, lancer, corriger</t>
  </si>
  <si>
    <t xml:space="preserve">Exercices : JUN.3 Écrire une classe de test — Le vert de RedactionTest ne dit rien de vos tests ; Tests : CC-TST.1, CC-TST.2, CC-TST.3</t>
  </si>
  <si>
    <t xml:space="preserve">Section 5. Du code qui se laisse tester</t>
  </si>
  <si>
    <t xml:space="preserve">Pourquoi certaines classes résistent aux tests ; Rappel : le contrôleur du module ITF ; Une doublure à la place de la fenêtre ; Tester sans ouvrir la fenêtre ; Rappel : l'âge du livre, au module POO ; Ni le jour, ni le hasard</t>
  </si>
  <si>
    <t xml:space="preserve">Section 1. Un type en paramètre</t>
  </si>
  <si>
    <t xml:space="preserve">Quelqu'un a écrit ce E</t>
  </si>
  <si>
    <t xml:space="preserve">Démonstration Demo_GEN : L'erreur qui change de camp (avant GEN.1)</t>
  </si>
  <si>
    <t xml:space="preserve">Déclarer un paramètre, le fixer à l'usage ; Un T se transmet</t>
  </si>
  <si>
    <t xml:space="preserve">Exercices : GEN.1 Une paire, un seul type</t>
  </si>
  <si>
    <t xml:space="preserve">Section 2. Autant de types qu'il en faut</t>
  </si>
  <si>
    <t xml:space="preserve">Plusieurs paramètres ; Un argument de type peut être générique</t>
  </si>
  <si>
    <t xml:space="preserve">Exercices : GEN.2 Un couple, deux types ; GEN.3 Deux sortes de triplets</t>
  </si>
  <si>
    <t xml:space="preserve">Section 3. Ce que le compilateur efface</t>
  </si>
  <si>
    <t xml:space="preserve">Une seule classe à l'exécution ; Vérifier, puis effacer ; Ce que l'effacement interdit ; Le transtypage qu'on ne peut pas éviter</t>
  </si>
  <si>
    <t xml:space="preserve">Section 4. Une famille de types</t>
  </si>
  <si>
    <t xml:space="preserve">Une Valise est un Bagage</t>
  </si>
  <si>
    <t xml:space="preserve">Exercices : GEN.4 Le joker — D'abord la version évidente</t>
  </si>
  <si>
    <t xml:space="preserve">? extends : on lit ; ? super : on ajoute ; ? extends ou ? super</t>
  </si>
  <si>
    <t xml:space="preserve">Section 5. Une méthode générique</t>
  </si>
  <si>
    <t xml:space="preserve">Le compilateur déduit le T ; Une méthode statique déclare son T</t>
  </si>
  <si>
    <t xml:space="preserve">Exercices : GEN.5 Une méthode générique</t>
  </si>
  <si>
    <t xml:space="preserve">Section 6. Hériter d'une classe générique</t>
  </si>
  <si>
    <t xml:space="preserve">Deux façons d'hériter ; Une interface générique</t>
  </si>
  <si>
    <t xml:space="preserve">Exercices : GEN.6 Hériter d'une classe générique — Code commun : CC-CLS.3, tests : CC-MET.7</t>
  </si>
  <si>
    <t xml:space="preserve">Section 1. Une classe qui perd son nom</t>
  </si>
  <si>
    <t xml:space="preserve">Vous passez déjà des comportements ; La classe anonyme</t>
  </si>
  <si>
    <t xml:space="preserve">Démonstration Demo_LAM : Ce qu'une lambda peut remplacer, et ce qu'elle ne peut pas (avant LAM.1)</t>
  </si>
  <si>
    <t xml:space="preserve">Section 2. Ce que le compilateur sait déjà</t>
  </si>
  <si>
    <t xml:space="preserve">La lambda : ce qui reste ; Rappel : l'interface fonctionnelle ; Le type de la lambda vient du contexte ; Les formes d'une lambda</t>
  </si>
  <si>
    <t xml:space="preserve">Exercices : LAM.1 Un tableau de comportements ; LAM.2 Écrire son interface fonctionnelle — Déplier une lambda : IDE.16 ; nommer ce qui n'a pas de nom : CC-MET.1</t>
  </si>
  <si>
    <t xml:space="preserve">Section 3. Réutiliser ce qui existe</t>
  </si>
  <si>
    <t xml:space="preserve">Les interfaces de java.util.function ; Les méthodes de COL, sans classe ; La référence de méthode ; Un stream, en passant ; Le stream, étape par étape</t>
  </si>
  <si>
    <t xml:space="preserve">Exercices : LAM.3 Celle du JDK, et les références de méthodes — Nommer un critère : CC-NOM.1 ; une seule chose à la fois : CC-MET.3</t>
  </si>
  <si>
    <t xml:space="preserve">Vous les retrouverez au module FX ; Le fil rouge</t>
  </si>
  <si>
    <t xml:space="preserve">Section 1. Lancer une application JavaFX</t>
  </si>
  <si>
    <t xml:space="preserve">JavaFX n'est plus dans le JDK ; La classe à lancer s'appelle Lanceur ; Si rien ne démarre</t>
  </si>
  <si>
    <t xml:space="preserve">Section 2. Une fenêtre et ses composants</t>
  </si>
  <si>
    <t xml:space="preserve">Qui appelle start ? ; Le graphe de scène ; Construire le graphe de scène ; Les conteneurs ; Les contrôles</t>
  </si>
  <si>
    <t xml:space="preserve">Section 3. Brancher un bouton</t>
  </si>
  <si>
    <t xml:space="preserve">Le programme attend</t>
  </si>
  <si>
    <t xml:space="preserve">Démonstration Demo_FX : Le bouton qui ne fait rien (avant FX.1, FX.4 et FX.5)</t>
  </si>
  <si>
    <t xml:space="preserve">18 minutes, en trois temps</t>
  </si>
  <si>
    <t xml:space="preserve">Durée de la démo répartie à parts égales entre ses 3 temps (hypothèse)</t>
  </si>
  <si>
    <t xml:space="preserve">Un gestionnaire est un objet ; setOnAction n'est qu'un raccourci</t>
  </si>
  <si>
    <t xml:space="preserve">Exercices : FX.1 Un compteur de participants ; FX.2 Un bouton Reset ; FX.3 Deux compteurs, et une mise en page</t>
  </si>
  <si>
    <t xml:space="preserve">Section 4. Ce que dit un événement</t>
  </si>
  <si>
    <t xml:space="preserve">Démonstration Demo_FX : Une touche frappée (avant FX.1, FX.4 et FX.5)</t>
  </si>
  <si>
    <t xml:space="preserve">Ce que transporte un événement ; Les familles d'événements</t>
  </si>
  <si>
    <t xml:space="preserve">Exercices : FX.4 Compter au clavier</t>
  </si>
  <si>
    <t xml:space="preserve">À vous de chercher ; Une touche, deux événements ; La souris</t>
  </si>
  <si>
    <t xml:space="preserve">Section 5. Un événement voyage</t>
  </si>
  <si>
    <t xml:space="preserve">Démonstration Demo_FX : Un événement voyage (avant FX.1, FX.4 et FX.5)</t>
  </si>
  <si>
    <t xml:space="preserve">L'aller et le retour ; La propagation des événements ; Les EventFilter ; EventHandler et EventFilter ; Filtre ou gestionnaire ; consume()</t>
  </si>
  <si>
    <t xml:space="preserve">Exercices : FX.5 Un événement voyage</t>
  </si>
  <si>
    <t xml:space="preserve">Section 1. Une valeur qui prévient</t>
  </si>
  <si>
    <t xml:space="preserve">Réagir à un geste, ou à une valeur ; Une propriété est un objet ; S'abonner à un changement ; Les contrôles en ont aussi</t>
  </si>
  <si>
    <t xml:space="preserve">Exercices : FX.6 Écouter une propriété ; FX.7 Un Slider et un Label</t>
  </si>
  <si>
    <t xml:space="preserve">Section 2. Lier plutôt qu'écouter</t>
  </si>
  <si>
    <t xml:space="preserve">Une dépendance déclarée ; Des valeurs qui se calculent ; Dans les deux sens</t>
  </si>
  <si>
    <t xml:space="preserve">Exercices : FX.8 Lier plutôt qu'écouter</t>
  </si>
  <si>
    <t xml:space="preserve">Section 3. Séparer l'écran du calcul</t>
  </si>
  <si>
    <t xml:space="preserve">Trois responsabilités ; Qui connaît qui</t>
  </si>
  <si>
    <t xml:space="preserve">Section 4. Décrire l'écran en FXML</t>
  </si>
  <si>
    <t xml:space="preserve">Écrire l'écran, ou le décrire ; Un élément, un objet ; Charger une vue ; La vue et son contrôleur</t>
  </si>
  <si>
    <t xml:space="preserve">Exercices : FX.9 Une calculatrice, en MVC</t>
  </si>
  <si>
    <t xml:space="preserve">Pour aller plus loin ; Le fil rouge</t>
  </si>
  <si>
    <t xml:space="preserve">Section 1. Ce qu'on va construire</t>
  </si>
  <si>
    <t xml:space="preserve">Une calculatrice simplifiée ; Trois fichiers, trois rôles ; L'application charge la vue ; Les composants utilisés</t>
  </si>
  <si>
    <t xml:space="preserve">Section 2. La vue, pas à pas</t>
  </si>
  <si>
    <t xml:space="preserve">Le plan de l'écran ; Deux mots de XML ; Le squelette ; Un attribut, c'est un setter ; Le cadre de l'écran ; Le texte, relié au contrôleur ; Une ligne de touches ; Un défaut à corriger ; Vérifier, puis lancer ; Un dernier détail, facultatif</t>
  </si>
  <si>
    <t xml:space="preserve">Section 3. Le contrôleur</t>
  </si>
  <si>
    <t xml:space="preserve">Que doit faire chaque touche ? ; Trois méthodes, branchées sur la vue ; Quelle touche a été pressée ? ; Les chiffres ; Et les opérateurs ?</t>
  </si>
  <si>
    <t xml:space="preserve">Section 4. Le modèle, et la fin</t>
  </si>
  <si>
    <t xml:space="preserve">Ce que fait le modèle ; Le contrôleur connaît le modèle ; Les chiffres, une seconde règle ; À vous : les opérateurs ; Vérifier la calculatrice ; Et après ?</t>
  </si>
  <si>
    <t xml:space="preserve">Section 1. Ce qui entre, ce qui sort</t>
  </si>
  <si>
    <t xml:space="preserve">Tout s'efface à l'arrêt ; Vous écrivez déjà dans un flux ; Deux familles, quatre racines ; Les flux s'emboîtent</t>
  </si>
  <si>
    <t xml:space="preserve">Exercices : FIC.1 Trois classes qui se connaissent — Aucun fichier : le modèle des deux exercices suivants</t>
  </si>
  <si>
    <t xml:space="preserve">Section 2. Fermer quoi qu'il arrive</t>
  </si>
  <si>
    <t xml:space="preserve">Un flux ouvert se ferme ; Le try avec ressources ; IOException, une exception contrôlée</t>
  </si>
  <si>
    <t xml:space="preserve">Section 3. Écrire et relire du texte</t>
  </si>
  <si>
    <t xml:space="preserve">Écrire comme sur la console ; Relire ligne par ligne ; Une ligne, plusieurs champs ; Un nom n'est pas un fichier ; Path et Files</t>
  </si>
  <si>
    <t xml:space="preserve">Section 4. Écrire l'objet tel quel</t>
  </si>
  <si>
    <t xml:space="preserve">Un format à inventer pour chaque classe</t>
  </si>
  <si>
    <t xml:space="preserve">Démonstration Demo_FIC : Les mêmes données, deux fois (Séance 12, avant les exercices FIC)</t>
  </si>
  <si>
    <t xml:space="preserve">25 minutes</t>
  </si>
  <si>
    <t xml:space="preserve">Les flux d'objets ; Une étiquette, pas un contrat ; Où s'arrête un fichier</t>
  </si>
  <si>
    <t xml:space="preserve">Exercices : FIC.2 Enregistrer des objets ; FIC.3 Enregistrer du texte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</si>
</sst>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]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E8F3EA"/>
      </patternFill>
    </fill>
    <fill>
      <patternFill patternType="solid">
        <fgColor rgb="FFFFF4D6"/>
        <bgColor rgb="FFFFF2CC"/>
      </patternFill>
    </fill>
    <fill>
      <patternFill patternType="solid">
        <fgColor rgb="FFE8F3EA"/>
        <bgColor rgb="FFDDEBF7"/>
      </patternFill>
    </fill>
    <fill>
      <patternFill patternType="solid">
        <fgColor rgb="FFFFF2CC"/>
        <bgColor rgb="FFFFF4D6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8F3EA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A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35.05" hidden="false" customHeight="false" outlineLevel="0" collapsed="false">
      <c r="A14" s="2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5" t="s">
        <v>13</v>
      </c>
    </row>
    <row r="19" customFormat="false" ht="15" hidden="false" customHeight="false" outlineLevel="0" collapsed="false">
      <c r="A19" s="6" t="s">
        <v>14</v>
      </c>
    </row>
    <row r="20" customFormat="false" ht="15" hidden="false" customHeight="false" outlineLevel="0" collapsed="false">
      <c r="A20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8" t="s">
        <v>16</v>
      </c>
    </row>
    <row r="3" customFormat="false" ht="15" hidden="false" customHeight="false" outlineLevel="0" collapsed="false">
      <c r="A3" s="5" t="s">
        <v>17</v>
      </c>
      <c r="C3" s="9"/>
    </row>
    <row r="5" customFormat="false" ht="23.85" hidden="false" customHeight="fals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</row>
    <row r="6" customFormat="false" ht="15" hidden="false" customHeight="false" outlineLevel="0" collapsed="false">
      <c r="A6" s="5" t="s">
        <v>26</v>
      </c>
      <c r="B6" s="5" t="n">
        <v>26</v>
      </c>
      <c r="C6" s="5" t="n">
        <f aca="false">SUMIFS(Déroulé!$J$2:$J$301,Déroulé!$A$2:$A$301,A6,Déroulé!$C$2:$C$301,"Démonstration")</f>
        <v>0</v>
      </c>
      <c r="D6" s="5" t="n">
        <f aca="false">SUMIFS(Déroulé!$J$2:$J$301,Déroulé!$A$2:$A$301,A6,Déroulé!$C$2:$C$301,"Exercices")</f>
        <v>0</v>
      </c>
      <c r="E6" s="5" t="n">
        <f aca="false">SUMIFS(Déroulé!$J$2:$J$301,Déroulé!$A$2:$A$301,A6,Déroulé!$C$2:$C$301,"Slides")</f>
        <v>0</v>
      </c>
      <c r="F6" s="5" t="n">
        <f aca="false">C6+D6+E6</f>
        <v>0</v>
      </c>
      <c r="G6" s="11" t="n">
        <f aca="false">F6/1440</f>
        <v>0</v>
      </c>
      <c r="H6" s="5" t="n">
        <f aca="false">COUNTIFS(Déroulé!$A$2:$A$301,A6,Déroulé!$H$2:$H$301,"",Déroulé!$C$2:$C$301,"&lt;&gt;Section")</f>
        <v>2</v>
      </c>
    </row>
    <row r="7" customFormat="false" ht="15" hidden="false" customHeight="false" outlineLevel="0" collapsed="false">
      <c r="A7" s="5" t="s">
        <v>27</v>
      </c>
      <c r="B7" s="5" t="n">
        <v>59</v>
      </c>
      <c r="C7" s="5" t="n">
        <f aca="false">SUMIFS(Déroulé!$J$2:$J$301,Déroulé!$A$2:$A$301,A7,Déroulé!$C$2:$C$301,"Démonstration")</f>
        <v>25</v>
      </c>
      <c r="D7" s="5" t="n">
        <f aca="false">SUMIFS(Déroulé!$J$2:$J$301,Déroulé!$A$2:$A$301,A7,Déroulé!$C$2:$C$301,"Exercices")</f>
        <v>0</v>
      </c>
      <c r="E7" s="5" t="n">
        <f aca="false">SUMIFS(Déroulé!$J$2:$J$301,Déroulé!$A$2:$A$301,A7,Déroulé!$C$2:$C$301,"Slides")</f>
        <v>0</v>
      </c>
      <c r="F7" s="5" t="n">
        <f aca="false">C7+D7+E7</f>
        <v>25</v>
      </c>
      <c r="G7" s="11" t="n">
        <f aca="false">F7/1440</f>
        <v>0.0173611111111111</v>
      </c>
      <c r="H7" s="5" t="n">
        <f aca="false">COUNTIFS(Déroulé!$A$2:$A$301,A7,Déroulé!$H$2:$H$301,"",Déroulé!$C$2:$C$301,"&lt;&gt;Section")</f>
        <v>18</v>
      </c>
    </row>
    <row r="8" customFormat="false" ht="15" hidden="false" customHeight="false" outlineLevel="0" collapsed="false">
      <c r="A8" s="5" t="s">
        <v>28</v>
      </c>
      <c r="B8" s="5" t="n">
        <v>48</v>
      </c>
      <c r="C8" s="5" t="n">
        <f aca="false">SUMIFS(Déroulé!$J$2:$J$301,Déroulé!$A$2:$A$301,A8,Déroulé!$C$2:$C$301,"Démonstration")</f>
        <v>12</v>
      </c>
      <c r="D8" s="5" t="n">
        <f aca="false">SUMIFS(Déroulé!$J$2:$J$301,Déroulé!$A$2:$A$301,A8,Déroulé!$C$2:$C$301,"Exercices")</f>
        <v>0</v>
      </c>
      <c r="E8" s="5" t="n">
        <f aca="false">SUMIFS(Déroulé!$J$2:$J$301,Déroulé!$A$2:$A$301,A8,Déroulé!$C$2:$C$301,"Slides")</f>
        <v>0</v>
      </c>
      <c r="F8" s="5" t="n">
        <f aca="false">C8+D8+E8</f>
        <v>12</v>
      </c>
      <c r="G8" s="11" t="n">
        <f aca="false">F8/1440</f>
        <v>0.00833333333333333</v>
      </c>
      <c r="H8" s="5" t="n">
        <f aca="false">COUNTIFS(Déroulé!$A$2:$A$301,A8,Déroulé!$H$2:$H$301,"",Déroulé!$C$2:$C$301,"&lt;&gt;Section")</f>
        <v>20</v>
      </c>
    </row>
    <row r="9" customFormat="false" ht="15" hidden="false" customHeight="false" outlineLevel="0" collapsed="false">
      <c r="A9" s="5" t="s">
        <v>29</v>
      </c>
      <c r="B9" s="5" t="n">
        <v>27</v>
      </c>
      <c r="C9" s="5" t="n">
        <f aca="false">SUMIFS(Déroulé!$J$2:$J$301,Déroulé!$A$2:$A$301,A9,Déroulé!$C$2:$C$301,"Démonstration")</f>
        <v>20</v>
      </c>
      <c r="D9" s="5" t="n">
        <f aca="false">SUMIFS(Déroulé!$J$2:$J$301,Déroulé!$A$2:$A$301,A9,Déroulé!$C$2:$C$301,"Exercices")</f>
        <v>0</v>
      </c>
      <c r="E9" s="5" t="n">
        <f aca="false">SUMIFS(Déroulé!$J$2:$J$301,Déroulé!$A$2:$A$301,A9,Déroulé!$C$2:$C$301,"Slides")</f>
        <v>0</v>
      </c>
      <c r="F9" s="5" t="n">
        <f aca="false">C9+D9+E9</f>
        <v>20</v>
      </c>
      <c r="G9" s="11" t="n">
        <f aca="false">F9/1440</f>
        <v>0.0138888888888889</v>
      </c>
      <c r="H9" s="5" t="n">
        <f aca="false">COUNTIFS(Déroulé!$A$2:$A$301,A9,Déroulé!$H$2:$H$301,"",Déroulé!$C$2:$C$301,"&lt;&gt;Section")</f>
        <v>11</v>
      </c>
    </row>
    <row r="10" customFormat="false" ht="15" hidden="false" customHeight="false" outlineLevel="0" collapsed="false">
      <c r="A10" s="5" t="s">
        <v>30</v>
      </c>
      <c r="B10" s="5" t="n">
        <v>40</v>
      </c>
      <c r="C10" s="5" t="n">
        <f aca="false">SUMIFS(Déroulé!$J$2:$J$301,Déroulé!$A$2:$A$301,A10,Déroulé!$C$2:$C$301,"Démonstration")</f>
        <v>10</v>
      </c>
      <c r="D10" s="5" t="n">
        <f aca="false">SUMIFS(Déroulé!$J$2:$J$301,Déroulé!$A$2:$A$301,A10,Déroulé!$C$2:$C$301,"Exercices")</f>
        <v>0</v>
      </c>
      <c r="E10" s="5" t="n">
        <f aca="false">SUMIFS(Déroulé!$J$2:$J$301,Déroulé!$A$2:$A$301,A10,Déroulé!$C$2:$C$301,"Slides")</f>
        <v>0</v>
      </c>
      <c r="F10" s="5" t="n">
        <f aca="false">C10+D10+E10</f>
        <v>10</v>
      </c>
      <c r="G10" s="11" t="n">
        <f aca="false">F10/1440</f>
        <v>0.00694444444444444</v>
      </c>
      <c r="H10" s="5" t="n">
        <f aca="false">COUNTIFS(Déroulé!$A$2:$A$301,A10,Déroulé!$H$2:$H$301,"",Déroulé!$C$2:$C$301,"&lt;&gt;Section")</f>
        <v>13</v>
      </c>
    </row>
    <row r="11" customFormat="false" ht="15" hidden="false" customHeight="false" outlineLevel="0" collapsed="false">
      <c r="A11" s="5" t="s">
        <v>31</v>
      </c>
      <c r="B11" s="5" t="n">
        <v>46</v>
      </c>
      <c r="C11" s="5" t="n">
        <f aca="false">SUMIFS(Déroulé!$J$2:$J$301,Déroulé!$A$2:$A$301,A11,Déroulé!$C$2:$C$301,"Démonstration")</f>
        <v>12</v>
      </c>
      <c r="D11" s="5" t="n">
        <f aca="false">SUMIFS(Déroulé!$J$2:$J$301,Déroulé!$A$2:$A$301,A11,Déroulé!$C$2:$C$301,"Exercices")</f>
        <v>0</v>
      </c>
      <c r="E11" s="5" t="n">
        <f aca="false">SUMIFS(Déroulé!$J$2:$J$301,Déroulé!$A$2:$A$301,A11,Déroulé!$C$2:$C$301,"Slides")</f>
        <v>0</v>
      </c>
      <c r="F11" s="5" t="n">
        <f aca="false">C11+D11+E11</f>
        <v>12</v>
      </c>
      <c r="G11" s="11" t="n">
        <f aca="false">F11/1440</f>
        <v>0.00833333333333333</v>
      </c>
      <c r="H11" s="5" t="n">
        <f aca="false">COUNTIFS(Déroulé!$A$2:$A$301,A11,Déroulé!$H$2:$H$301,"",Déroulé!$C$2:$C$301,"&lt;&gt;Section")</f>
        <v>15</v>
      </c>
    </row>
    <row r="12" customFormat="false" ht="15" hidden="false" customHeight="false" outlineLevel="0" collapsed="false">
      <c r="A12" s="5" t="s">
        <v>32</v>
      </c>
      <c r="B12" s="5" t="n">
        <v>38</v>
      </c>
      <c r="C12" s="5" t="n">
        <f aca="false">SUMIFS(Déroulé!$J$2:$J$301,Déroulé!$A$2:$A$301,A12,Déroulé!$C$2:$C$301,"Démonstration")</f>
        <v>12</v>
      </c>
      <c r="D12" s="5" t="n">
        <f aca="false">SUMIFS(Déroulé!$J$2:$J$301,Déroulé!$A$2:$A$301,A12,Déroulé!$C$2:$C$301,"Exercices")</f>
        <v>0</v>
      </c>
      <c r="E12" s="5" t="n">
        <f aca="false">SUMIFS(Déroulé!$J$2:$J$301,Déroulé!$A$2:$A$301,A12,Déroulé!$C$2:$C$301,"Slides")</f>
        <v>0</v>
      </c>
      <c r="F12" s="5" t="n">
        <f aca="false">C12+D12+E12</f>
        <v>12</v>
      </c>
      <c r="G12" s="11" t="n">
        <f aca="false">F12/1440</f>
        <v>0.00833333333333333</v>
      </c>
      <c r="H12" s="5" t="n">
        <f aca="false">COUNTIFS(Déroulé!$A$2:$A$301,A12,Déroulé!$H$2:$H$301,"",Déroulé!$C$2:$C$301,"&lt;&gt;Section")</f>
        <v>11</v>
      </c>
    </row>
    <row r="13" customFormat="false" ht="15" hidden="false" customHeight="false" outlineLevel="0" collapsed="false">
      <c r="A13" s="5" t="s">
        <v>33</v>
      </c>
      <c r="B13" s="5" t="n">
        <v>31</v>
      </c>
      <c r="C13" s="5" t="n">
        <f aca="false">SUMIFS(Déroulé!$J$2:$J$301,Déroulé!$A$2:$A$301,A13,Déroulé!$C$2:$C$301,"Démonstration")</f>
        <v>25</v>
      </c>
      <c r="D13" s="5" t="n">
        <f aca="false">SUMIFS(Déroulé!$J$2:$J$301,Déroulé!$A$2:$A$301,A13,Déroulé!$C$2:$C$301,"Exercices")</f>
        <v>0</v>
      </c>
      <c r="E13" s="5" t="n">
        <f aca="false">SUMIFS(Déroulé!$J$2:$J$301,Déroulé!$A$2:$A$301,A13,Déroulé!$C$2:$C$301,"Slides")</f>
        <v>0</v>
      </c>
      <c r="F13" s="5" t="n">
        <f aca="false">C13+D13+E13</f>
        <v>25</v>
      </c>
      <c r="G13" s="11" t="n">
        <f aca="false">F13/1440</f>
        <v>0.0173611111111111</v>
      </c>
      <c r="H13" s="5" t="n">
        <f aca="false">COUNTIFS(Déroulé!$A$2:$A$301,A13,Déroulé!$H$2:$H$301,"",Déroulé!$C$2:$C$301,"&lt;&gt;Section")</f>
        <v>12</v>
      </c>
    </row>
    <row r="14" customFormat="false" ht="15" hidden="false" customHeight="false" outlineLevel="0" collapsed="false">
      <c r="A14" s="5" t="s">
        <v>34</v>
      </c>
      <c r="B14" s="5" t="n">
        <v>38</v>
      </c>
      <c r="C14" s="5" t="n">
        <f aca="false">SUMIFS(Déroulé!$J$2:$J$301,Déroulé!$A$2:$A$301,A14,Déroulé!$C$2:$C$301,"Démonstration")</f>
        <v>12</v>
      </c>
      <c r="D14" s="5" t="n">
        <f aca="false">SUMIFS(Déroulé!$J$2:$J$301,Déroulé!$A$2:$A$301,A14,Déroulé!$C$2:$C$301,"Exercices")</f>
        <v>0</v>
      </c>
      <c r="E14" s="5" t="n">
        <f aca="false">SUMIFS(Déroulé!$J$2:$J$301,Déroulé!$A$2:$A$301,A14,Déroulé!$C$2:$C$301,"Slides")</f>
        <v>0</v>
      </c>
      <c r="F14" s="5" t="n">
        <f aca="false">C14+D14+E14</f>
        <v>12</v>
      </c>
      <c r="G14" s="11" t="n">
        <f aca="false">F14/1440</f>
        <v>0.00833333333333333</v>
      </c>
      <c r="H14" s="5" t="n">
        <f aca="false">COUNTIFS(Déroulé!$A$2:$A$301,A14,Déroulé!$H$2:$H$301,"",Déroulé!$C$2:$C$301,"&lt;&gt;Section")</f>
        <v>13</v>
      </c>
    </row>
    <row r="15" customFormat="false" ht="15" hidden="false" customHeight="false" outlineLevel="0" collapsed="false">
      <c r="A15" s="5" t="s">
        <v>35</v>
      </c>
      <c r="B15" s="5" t="n">
        <v>26</v>
      </c>
      <c r="C15" s="5" t="n">
        <f aca="false">SUMIFS(Déroulé!$J$2:$J$301,Déroulé!$A$2:$A$301,A15,Déroulé!$C$2:$C$301,"Démonstration")</f>
        <v>12</v>
      </c>
      <c r="D15" s="5" t="n">
        <f aca="false">SUMIFS(Déroulé!$J$2:$J$301,Déroulé!$A$2:$A$301,A15,Déroulé!$C$2:$C$301,"Exercices")</f>
        <v>0</v>
      </c>
      <c r="E15" s="5" t="n">
        <f aca="false">SUMIFS(Déroulé!$J$2:$J$301,Déroulé!$A$2:$A$301,A15,Déroulé!$C$2:$C$301,"Slides")</f>
        <v>0</v>
      </c>
      <c r="F15" s="5" t="n">
        <f aca="false">C15+D15+E15</f>
        <v>12</v>
      </c>
      <c r="G15" s="11" t="n">
        <f aca="false">F15/1440</f>
        <v>0.00833333333333333</v>
      </c>
      <c r="H15" s="5" t="n">
        <f aca="false">COUNTIFS(Déroulé!$A$2:$A$301,A15,Déroulé!$H$2:$H$301,"",Déroulé!$C$2:$C$301,"&lt;&gt;Section")</f>
        <v>11</v>
      </c>
    </row>
    <row r="16" customFormat="false" ht="15" hidden="false" customHeight="false" outlineLevel="0" collapsed="false">
      <c r="A16" s="5" t="s">
        <v>36</v>
      </c>
      <c r="B16" s="5" t="n">
        <v>34</v>
      </c>
      <c r="C16" s="5" t="n">
        <f aca="false">SUMIFS(Déroulé!$J$2:$J$301,Déroulé!$A$2:$A$301,A16,Déroulé!$C$2:$C$301,"Démonstration")</f>
        <v>15</v>
      </c>
      <c r="D16" s="5" t="n">
        <f aca="false">SUMIFS(Déroulé!$J$2:$J$301,Déroulé!$A$2:$A$301,A16,Déroulé!$C$2:$C$301,"Exercices")</f>
        <v>0</v>
      </c>
      <c r="E16" s="5" t="n">
        <f aca="false">SUMIFS(Déroulé!$J$2:$J$301,Déroulé!$A$2:$A$301,A16,Déroulé!$C$2:$C$301,"Slides")</f>
        <v>0</v>
      </c>
      <c r="F16" s="5" t="n">
        <f aca="false">C16+D16+E16</f>
        <v>15</v>
      </c>
      <c r="G16" s="11" t="n">
        <f aca="false">F16/1440</f>
        <v>0.0104166666666667</v>
      </c>
      <c r="H16" s="5" t="n">
        <f aca="false">COUNTIFS(Déroulé!$A$2:$A$301,A16,Déroulé!$H$2:$H$301,"",Déroulé!$C$2:$C$301,"&lt;&gt;Section")</f>
        <v>9</v>
      </c>
    </row>
    <row r="17" customFormat="false" ht="15" hidden="false" customHeight="false" outlineLevel="0" collapsed="false">
      <c r="A17" s="5" t="s">
        <v>37</v>
      </c>
      <c r="B17" s="5" t="n">
        <v>32</v>
      </c>
      <c r="C17" s="5" t="n">
        <f aca="false">SUMIFS(Déroulé!$J$2:$J$301,Déroulé!$A$2:$A$301,A17,Déroulé!$C$2:$C$301,"Démonstration")</f>
        <v>12</v>
      </c>
      <c r="D17" s="5" t="n">
        <f aca="false">SUMIFS(Déroulé!$J$2:$J$301,Déroulé!$A$2:$A$301,A17,Déroulé!$C$2:$C$301,"Exercices")</f>
        <v>0</v>
      </c>
      <c r="E17" s="5" t="n">
        <f aca="false">SUMIFS(Déroulé!$J$2:$J$301,Déroulé!$A$2:$A$301,A17,Déroulé!$C$2:$C$301,"Slides")</f>
        <v>0</v>
      </c>
      <c r="F17" s="5" t="n">
        <f aca="false">C17+D17+E17</f>
        <v>12</v>
      </c>
      <c r="G17" s="11" t="n">
        <f aca="false">F17/1440</f>
        <v>0.00833333333333333</v>
      </c>
      <c r="H17" s="5" t="n">
        <f aca="false">COUNTIFS(Déroulé!$A$2:$A$301,A17,Déroulé!$H$2:$H$301,"",Déroulé!$C$2:$C$301,"&lt;&gt;Section")</f>
        <v>15</v>
      </c>
    </row>
    <row r="18" customFormat="false" ht="15" hidden="false" customHeight="false" outlineLevel="0" collapsed="false">
      <c r="A18" s="5" t="s">
        <v>38</v>
      </c>
      <c r="B18" s="5" t="n">
        <v>21</v>
      </c>
      <c r="C18" s="5" t="n">
        <f aca="false">SUMIFS(Déroulé!$J$2:$J$301,Déroulé!$A$2:$A$301,A18,Déroulé!$C$2:$C$301,"Démonstration")</f>
        <v>12</v>
      </c>
      <c r="D18" s="5" t="n">
        <f aca="false">SUMIFS(Déroulé!$J$2:$J$301,Déroulé!$A$2:$A$301,A18,Déroulé!$C$2:$C$301,"Exercices")</f>
        <v>0</v>
      </c>
      <c r="E18" s="5" t="n">
        <f aca="false">SUMIFS(Déroulé!$J$2:$J$301,Déroulé!$A$2:$A$301,A18,Déroulé!$C$2:$C$301,"Slides")</f>
        <v>0</v>
      </c>
      <c r="F18" s="5" t="n">
        <f aca="false">C18+D18+E18</f>
        <v>12</v>
      </c>
      <c r="G18" s="11" t="n">
        <f aca="false">F18/1440</f>
        <v>0.00833333333333333</v>
      </c>
      <c r="H18" s="5" t="n">
        <f aca="false">COUNTIFS(Déroulé!$A$2:$A$301,A18,Déroulé!$H$2:$H$301,"",Déroulé!$C$2:$C$301,"&lt;&gt;Section")</f>
        <v>7</v>
      </c>
    </row>
    <row r="19" customFormat="false" ht="15" hidden="false" customHeight="false" outlineLevel="0" collapsed="false">
      <c r="A19" s="5" t="s">
        <v>39</v>
      </c>
      <c r="B19" s="5" t="n">
        <v>36</v>
      </c>
      <c r="C19" s="5" t="n">
        <f aca="false">SUMIFS(Déroulé!$J$2:$J$301,Déroulé!$A$2:$A$301,A19,Déroulé!$C$2:$C$301,"Démonstration")</f>
        <v>18</v>
      </c>
      <c r="D19" s="5" t="n">
        <f aca="false">SUMIFS(Déroulé!$J$2:$J$301,Déroulé!$A$2:$A$301,A19,Déroulé!$C$2:$C$301,"Exercices")</f>
        <v>0</v>
      </c>
      <c r="E19" s="5" t="n">
        <f aca="false">SUMIFS(Déroulé!$J$2:$J$301,Déroulé!$A$2:$A$301,A19,Déroulé!$C$2:$C$301,"Slides")</f>
        <v>0</v>
      </c>
      <c r="F19" s="5" t="n">
        <f aca="false">C19+D19+E19</f>
        <v>18</v>
      </c>
      <c r="G19" s="11" t="n">
        <f aca="false">F19/1440</f>
        <v>0.0125</v>
      </c>
      <c r="H19" s="5" t="n">
        <f aca="false">COUNTIFS(Déroulé!$A$2:$A$301,A19,Déroulé!$H$2:$H$301,"",Déroulé!$C$2:$C$301,"&lt;&gt;Section")</f>
        <v>12</v>
      </c>
    </row>
    <row r="20" customFormat="false" ht="15" hidden="false" customHeight="false" outlineLevel="0" collapsed="false">
      <c r="A20" s="5" t="s">
        <v>40</v>
      </c>
      <c r="B20" s="5" t="n">
        <v>24</v>
      </c>
      <c r="C20" s="5" t="n">
        <f aca="false">SUMIFS(Déroulé!$J$2:$J$301,Déroulé!$A$2:$A$301,A20,Déroulé!$C$2:$C$301,"Démonstration")</f>
        <v>0</v>
      </c>
      <c r="D20" s="5" t="n">
        <f aca="false">SUMIFS(Déroulé!$J$2:$J$301,Déroulé!$A$2:$A$301,A20,Déroulé!$C$2:$C$301,"Exercices")</f>
        <v>0</v>
      </c>
      <c r="E20" s="5" t="n">
        <f aca="false">SUMIFS(Déroulé!$J$2:$J$301,Déroulé!$A$2:$A$301,A20,Déroulé!$C$2:$C$301,"Slides")</f>
        <v>0</v>
      </c>
      <c r="F20" s="5" t="n">
        <f aca="false">C20+D20+E20</f>
        <v>0</v>
      </c>
      <c r="G20" s="11" t="n">
        <f aca="false">F20/1440</f>
        <v>0</v>
      </c>
      <c r="H20" s="5" t="n">
        <f aca="false">COUNTIFS(Déroulé!$A$2:$A$301,A20,Déroulé!$H$2:$H$301,"",Déroulé!$C$2:$C$301,"&lt;&gt;Section")</f>
        <v>9</v>
      </c>
    </row>
    <row r="21" customFormat="false" ht="15" hidden="false" customHeight="false" outlineLevel="0" collapsed="false">
      <c r="A21" s="5" t="s">
        <v>41</v>
      </c>
      <c r="B21" s="5" t="n">
        <v>32</v>
      </c>
      <c r="C21" s="5" t="n">
        <f aca="false">SUMIFS(Déroulé!$J$2:$J$301,Déroulé!$A$2:$A$301,A21,Déroulé!$C$2:$C$301,"Démonstration")</f>
        <v>0</v>
      </c>
      <c r="D21" s="5" t="n">
        <f aca="false">SUMIFS(Déroulé!$J$2:$J$301,Déroulé!$A$2:$A$301,A21,Déroulé!$C$2:$C$301,"Exercices")</f>
        <v>0</v>
      </c>
      <c r="E21" s="5" t="n">
        <f aca="false">SUMIFS(Déroulé!$J$2:$J$301,Déroulé!$A$2:$A$301,A21,Déroulé!$C$2:$C$301,"Slides")</f>
        <v>0</v>
      </c>
      <c r="F21" s="5" t="n">
        <f aca="false">C21+D21+E21</f>
        <v>0</v>
      </c>
      <c r="G21" s="11" t="n">
        <f aca="false">F21/1440</f>
        <v>0</v>
      </c>
      <c r="H21" s="5" t="n">
        <f aca="false">COUNTIFS(Déroulé!$A$2:$A$301,A21,Déroulé!$H$2:$H$301,"",Déroulé!$C$2:$C$301,"&lt;&gt;Section")</f>
        <v>6</v>
      </c>
    </row>
    <row r="22" customFormat="false" ht="15" hidden="false" customHeight="false" outlineLevel="0" collapsed="false">
      <c r="A22" s="5" t="s">
        <v>42</v>
      </c>
      <c r="B22" s="5" t="n">
        <v>26</v>
      </c>
      <c r="C22" s="5" t="n">
        <f aca="false">SUMIFS(Déroulé!$J$2:$J$301,Déroulé!$A$2:$A$301,A22,Déroulé!$C$2:$C$301,"Démonstration")</f>
        <v>25</v>
      </c>
      <c r="D22" s="5" t="n">
        <f aca="false">SUMIFS(Déroulé!$J$2:$J$301,Déroulé!$A$2:$A$301,A22,Déroulé!$C$2:$C$301,"Exercices")</f>
        <v>0</v>
      </c>
      <c r="E22" s="5" t="n">
        <f aca="false">SUMIFS(Déroulé!$J$2:$J$301,Déroulé!$A$2:$A$301,A22,Déroulé!$C$2:$C$301,"Slides")</f>
        <v>0</v>
      </c>
      <c r="F22" s="5" t="n">
        <f aca="false">C22+D22+E22</f>
        <v>25</v>
      </c>
      <c r="G22" s="11" t="n">
        <f aca="false">F22/1440</f>
        <v>0.0173611111111111</v>
      </c>
      <c r="H22" s="5" t="n">
        <f aca="false">COUNTIFS(Déroulé!$A$2:$A$301,A22,Déroulé!$H$2:$H$301,"",Déroulé!$C$2:$C$301,"&lt;&gt;Section")</f>
        <v>9</v>
      </c>
    </row>
    <row r="23" customFormat="false" ht="15" hidden="false" customHeight="false" outlineLevel="0" collapsed="false">
      <c r="A23" s="3" t="s">
        <v>43</v>
      </c>
      <c r="B23" s="3" t="n">
        <f aca="false">SUM(B6:B22)</f>
        <v>584</v>
      </c>
      <c r="C23" s="3" t="n">
        <f aca="false">SUM(C6:C22)</f>
        <v>222</v>
      </c>
      <c r="D23" s="3" t="n">
        <f aca="false">SUM(D6:D22)</f>
        <v>0</v>
      </c>
      <c r="E23" s="3" t="n">
        <f aca="false">SUM(E6:E22)</f>
        <v>0</v>
      </c>
      <c r="F23" s="3" t="n">
        <f aca="false">SUM(F6:F22)</f>
        <v>222</v>
      </c>
      <c r="G23" s="12" t="n">
        <f aca="false">SUM(G6:G22)</f>
        <v>0.154166666666667</v>
      </c>
      <c r="H23" s="3" t="n">
        <f aca="false">SUM(H6:H22)</f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5" min="4" style="0" width="5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35.05" hidden="false" customHeight="false" outlineLevel="0" collapsed="false">
      <c r="A1" s="10" t="s">
        <v>18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53</v>
      </c>
      <c r="L1" s="10" t="s">
        <v>54</v>
      </c>
    </row>
    <row r="2" customFormat="false" ht="57.45" hidden="false" customHeight="false" outlineLevel="0" collapsed="false">
      <c r="A2" s="13" t="s">
        <v>26</v>
      </c>
      <c r="B2" s="13" t="n">
        <v>1</v>
      </c>
      <c r="C2" s="13" t="s">
        <v>19</v>
      </c>
      <c r="D2" s="13" t="n">
        <v>2</v>
      </c>
      <c r="E2" s="13" t="n">
        <v>17</v>
      </c>
      <c r="F2" s="13" t="n">
        <f aca="false">E2-D2+1</f>
        <v>16</v>
      </c>
      <c r="G2" s="14" t="s">
        <v>55</v>
      </c>
      <c r="H2" s="15"/>
      <c r="I2" s="14"/>
      <c r="J2" s="13" t="n">
        <f aca="false">IF(H2&lt;&gt;"",H2,IF(C2="Slides",F2*Synthèse!$C$3,0))</f>
        <v>0</v>
      </c>
      <c r="K2" s="13" t="n">
        <f aca="false">SUMIFS($J$2:J2,$A$2:A2,A2)</f>
        <v>0</v>
      </c>
      <c r="L2" s="16"/>
    </row>
    <row r="3" customFormat="false" ht="15" hidden="false" customHeight="false" outlineLevel="0" collapsed="false">
      <c r="A3" s="17" t="s">
        <v>26</v>
      </c>
      <c r="B3" s="17" t="n">
        <v>2</v>
      </c>
      <c r="C3" s="17" t="s">
        <v>56</v>
      </c>
      <c r="D3" s="17" t="n">
        <v>18</v>
      </c>
      <c r="E3" s="17" t="n">
        <v>18</v>
      </c>
      <c r="F3" s="17"/>
      <c r="G3" s="18" t="s">
        <v>57</v>
      </c>
      <c r="H3" s="19"/>
      <c r="I3" s="18"/>
      <c r="J3" s="17" t="n">
        <f aca="false">IF(H3&lt;&gt;"",H3,IF(C3="Slides",F3*Synthèse!$C$3,0))</f>
        <v>0</v>
      </c>
      <c r="K3" s="17" t="n">
        <f aca="false">SUMIFS($J$2:J3,$A$2:A3,A3)</f>
        <v>0</v>
      </c>
      <c r="L3" s="20"/>
    </row>
    <row r="4" customFormat="false" ht="35.05" hidden="false" customHeight="false" outlineLevel="0" collapsed="false">
      <c r="A4" s="13" t="s">
        <v>26</v>
      </c>
      <c r="B4" s="13" t="n">
        <v>3</v>
      </c>
      <c r="C4" s="13" t="s">
        <v>19</v>
      </c>
      <c r="D4" s="13" t="n">
        <v>19</v>
      </c>
      <c r="E4" s="13" t="n">
        <v>26</v>
      </c>
      <c r="F4" s="13" t="n">
        <f aca="false">E4-D4+1</f>
        <v>8</v>
      </c>
      <c r="G4" s="14" t="s">
        <v>58</v>
      </c>
      <c r="H4" s="15"/>
      <c r="I4" s="14"/>
      <c r="J4" s="13" t="n">
        <f aca="false">IF(H4&lt;&gt;"",H4,IF(C4="Slides",F4*Synthèse!$C$3,0))</f>
        <v>0</v>
      </c>
      <c r="K4" s="13" t="n">
        <f aca="false">SUMIFS($J$2:J4,$A$2:A4,A4)</f>
        <v>0</v>
      </c>
      <c r="L4" s="16"/>
    </row>
    <row r="5" customFormat="false" ht="15" hidden="false" customHeight="false" outlineLevel="0" collapsed="false">
      <c r="A5" s="13" t="s">
        <v>27</v>
      </c>
      <c r="B5" s="13" t="n">
        <v>1</v>
      </c>
      <c r="C5" s="13" t="s">
        <v>19</v>
      </c>
      <c r="D5" s="13" t="n">
        <v>2</v>
      </c>
      <c r="E5" s="13" t="n">
        <v>2</v>
      </c>
      <c r="F5" s="13" t="n">
        <f aca="false">E5-D5+1</f>
        <v>1</v>
      </c>
      <c r="G5" s="14" t="s">
        <v>59</v>
      </c>
      <c r="H5" s="15"/>
      <c r="I5" s="14"/>
      <c r="J5" s="13" t="n">
        <f aca="false">IF(H5&lt;&gt;"",H5,IF(C5="Slides",F5*Synthèse!$C$3,0))</f>
        <v>0</v>
      </c>
      <c r="K5" s="13" t="n">
        <f aca="false">SUMIFS($J$2:J5,$A$2:A5,A5)</f>
        <v>0</v>
      </c>
      <c r="L5" s="16"/>
    </row>
    <row r="6" customFormat="false" ht="15" hidden="false" customHeight="false" outlineLevel="0" collapsed="false">
      <c r="A6" s="17" t="s">
        <v>27</v>
      </c>
      <c r="B6" s="17" t="n">
        <v>2</v>
      </c>
      <c r="C6" s="17" t="s">
        <v>56</v>
      </c>
      <c r="D6" s="17" t="n">
        <v>3</v>
      </c>
      <c r="E6" s="17" t="n">
        <v>3</v>
      </c>
      <c r="F6" s="17"/>
      <c r="G6" s="18" t="s">
        <v>60</v>
      </c>
      <c r="H6" s="19"/>
      <c r="I6" s="18"/>
      <c r="J6" s="17" t="n">
        <f aca="false">IF(H6&lt;&gt;"",H6,IF(C6="Slides",F6*Synthèse!$C$3,0))</f>
        <v>0</v>
      </c>
      <c r="K6" s="17" t="n">
        <f aca="false">SUMIFS($J$2:J6,$A$2:A6,A6)</f>
        <v>0</v>
      </c>
      <c r="L6" s="20"/>
    </row>
    <row r="7" customFormat="false" ht="46.25" hidden="false" customHeight="false" outlineLevel="0" collapsed="false">
      <c r="A7" s="13" t="s">
        <v>27</v>
      </c>
      <c r="B7" s="13" t="n">
        <v>3</v>
      </c>
      <c r="C7" s="13" t="s">
        <v>19</v>
      </c>
      <c r="D7" s="13" t="n">
        <v>4</v>
      </c>
      <c r="E7" s="13" t="n">
        <v>12</v>
      </c>
      <c r="F7" s="13" t="n">
        <f aca="false">E7-D7+1</f>
        <v>9</v>
      </c>
      <c r="G7" s="14" t="s">
        <v>61</v>
      </c>
      <c r="H7" s="15"/>
      <c r="I7" s="14"/>
      <c r="J7" s="13" t="n">
        <f aca="false">IF(H7&lt;&gt;"",H7,IF(C7="Slides",F7*Synthèse!$C$3,0))</f>
        <v>0</v>
      </c>
      <c r="K7" s="13" t="n">
        <f aca="false">SUMIFS($J$2:J7,$A$2:A7,A7)</f>
        <v>0</v>
      </c>
      <c r="L7" s="16"/>
    </row>
    <row r="8" customFormat="false" ht="15" hidden="false" customHeight="false" outlineLevel="0" collapsed="false">
      <c r="A8" s="17" t="s">
        <v>27</v>
      </c>
      <c r="B8" s="17" t="n">
        <v>4</v>
      </c>
      <c r="C8" s="17" t="s">
        <v>56</v>
      </c>
      <c r="D8" s="17" t="n">
        <v>13</v>
      </c>
      <c r="E8" s="17" t="n">
        <v>13</v>
      </c>
      <c r="F8" s="17"/>
      <c r="G8" s="18" t="s">
        <v>62</v>
      </c>
      <c r="H8" s="19"/>
      <c r="I8" s="18"/>
      <c r="J8" s="17" t="n">
        <f aca="false">IF(H8&lt;&gt;"",H8,IF(C8="Slides",F8*Synthèse!$C$3,0))</f>
        <v>0</v>
      </c>
      <c r="K8" s="17" t="n">
        <f aca="false">SUMIFS($J$2:J8,$A$2:A8,A8)</f>
        <v>0</v>
      </c>
      <c r="L8" s="20"/>
    </row>
    <row r="9" customFormat="false" ht="15" hidden="false" customHeight="false" outlineLevel="0" collapsed="false">
      <c r="A9" s="13" t="s">
        <v>27</v>
      </c>
      <c r="B9" s="13" t="n">
        <v>5</v>
      </c>
      <c r="C9" s="13" t="s">
        <v>19</v>
      </c>
      <c r="D9" s="13" t="n">
        <v>14</v>
      </c>
      <c r="E9" s="13" t="n">
        <v>15</v>
      </c>
      <c r="F9" s="13" t="n">
        <f aca="false">E9-D9+1</f>
        <v>2</v>
      </c>
      <c r="G9" s="14" t="s">
        <v>63</v>
      </c>
      <c r="H9" s="15"/>
      <c r="I9" s="14"/>
      <c r="J9" s="13" t="n">
        <f aca="false">IF(H9&lt;&gt;"",H9,IF(C9="Slides",F9*Synthèse!$C$3,0))</f>
        <v>0</v>
      </c>
      <c r="K9" s="13" t="n">
        <f aca="false">SUMIFS($J$2:J9,$A$2:A9,A9)</f>
        <v>0</v>
      </c>
      <c r="L9" s="16"/>
    </row>
    <row r="10" customFormat="false" ht="15" hidden="false" customHeight="false" outlineLevel="0" collapsed="false">
      <c r="A10" s="21" t="s">
        <v>27</v>
      </c>
      <c r="B10" s="21" t="n">
        <v>6</v>
      </c>
      <c r="C10" s="21" t="s">
        <v>64</v>
      </c>
      <c r="D10" s="21" t="n">
        <v>16</v>
      </c>
      <c r="E10" s="21" t="n">
        <v>16</v>
      </c>
      <c r="F10" s="21"/>
      <c r="G10" s="22" t="s">
        <v>65</v>
      </c>
      <c r="H10" s="15" t="n">
        <v>15</v>
      </c>
      <c r="I10" s="22" t="s">
        <v>66</v>
      </c>
      <c r="J10" s="21" t="n">
        <f aca="false">IF(H10&lt;&gt;"",H10,IF(C10="Slides",F10*Synthèse!$C$3,0))</f>
        <v>15</v>
      </c>
      <c r="K10" s="21" t="n">
        <f aca="false">SUMIFS($J$2:J10,$A$2:A10,A10)</f>
        <v>15</v>
      </c>
      <c r="L10" s="16"/>
    </row>
    <row r="11" customFormat="false" ht="15" hidden="false" customHeight="false" outlineLevel="0" collapsed="false">
      <c r="A11" s="13" t="s">
        <v>27</v>
      </c>
      <c r="B11" s="13" t="n">
        <v>7</v>
      </c>
      <c r="C11" s="13" t="s">
        <v>19</v>
      </c>
      <c r="D11" s="13" t="n">
        <v>17</v>
      </c>
      <c r="E11" s="13" t="n">
        <v>20</v>
      </c>
      <c r="F11" s="13" t="n">
        <f aca="false">E11-D11+1</f>
        <v>4</v>
      </c>
      <c r="G11" s="14" t="s">
        <v>67</v>
      </c>
      <c r="H11" s="15"/>
      <c r="I11" s="14"/>
      <c r="J11" s="13" t="n">
        <f aca="false">IF(H11&lt;&gt;"",H11,IF(C11="Slides",F11*Synthèse!$C$3,0))</f>
        <v>0</v>
      </c>
      <c r="K11" s="13" t="n">
        <f aca="false">SUMIFS($J$2:J11,$A$2:A11,A11)</f>
        <v>15</v>
      </c>
      <c r="L11" s="16"/>
    </row>
    <row r="12" customFormat="false" ht="23.85" hidden="false" customHeight="false" outlineLevel="0" collapsed="false">
      <c r="A12" s="23" t="s">
        <v>27</v>
      </c>
      <c r="B12" s="23" t="n">
        <v>8</v>
      </c>
      <c r="C12" s="23" t="s">
        <v>68</v>
      </c>
      <c r="D12" s="23" t="n">
        <v>21</v>
      </c>
      <c r="E12" s="23" t="n">
        <v>21</v>
      </c>
      <c r="F12" s="23"/>
      <c r="G12" s="24" t="s">
        <v>69</v>
      </c>
      <c r="H12" s="15"/>
      <c r="I12" s="24"/>
      <c r="J12" s="23" t="n">
        <f aca="false">IF(H12&lt;&gt;"",H12,IF(C12="Slides",F12*Synthèse!$C$3,0))</f>
        <v>0</v>
      </c>
      <c r="K12" s="23" t="n">
        <f aca="false">SUMIFS($J$2:J12,$A$2:A12,A12)</f>
        <v>15</v>
      </c>
      <c r="L12" s="16"/>
    </row>
    <row r="13" customFormat="false" ht="15" hidden="false" customHeight="false" outlineLevel="0" collapsed="false">
      <c r="A13" s="17" t="s">
        <v>27</v>
      </c>
      <c r="B13" s="17" t="n">
        <v>9</v>
      </c>
      <c r="C13" s="17" t="s">
        <v>56</v>
      </c>
      <c r="D13" s="17" t="n">
        <v>22</v>
      </c>
      <c r="E13" s="17" t="n">
        <v>22</v>
      </c>
      <c r="F13" s="17"/>
      <c r="G13" s="18" t="s">
        <v>70</v>
      </c>
      <c r="H13" s="19"/>
      <c r="I13" s="18"/>
      <c r="J13" s="17" t="n">
        <f aca="false">IF(H13&lt;&gt;"",H13,IF(C13="Slides",F13*Synthèse!$C$3,0))</f>
        <v>0</v>
      </c>
      <c r="K13" s="17" t="n">
        <f aca="false">SUMIFS($J$2:J13,$A$2:A13,A13)</f>
        <v>15</v>
      </c>
      <c r="L13" s="20"/>
    </row>
    <row r="14" customFormat="false" ht="23.85" hidden="false" customHeight="false" outlineLevel="0" collapsed="false">
      <c r="A14" s="13" t="s">
        <v>27</v>
      </c>
      <c r="B14" s="13" t="n">
        <v>10</v>
      </c>
      <c r="C14" s="13" t="s">
        <v>19</v>
      </c>
      <c r="D14" s="13" t="n">
        <v>23</v>
      </c>
      <c r="E14" s="13" t="n">
        <v>27</v>
      </c>
      <c r="F14" s="13" t="n">
        <f aca="false">E14-D14+1</f>
        <v>5</v>
      </c>
      <c r="G14" s="14" t="s">
        <v>71</v>
      </c>
      <c r="H14" s="15"/>
      <c r="I14" s="14"/>
      <c r="J14" s="13" t="n">
        <f aca="false">IF(H14&lt;&gt;"",H14,IF(C14="Slides",F14*Synthèse!$C$3,0))</f>
        <v>0</v>
      </c>
      <c r="K14" s="13" t="n">
        <f aca="false">SUMIFS($J$2:J14,$A$2:A14,A14)</f>
        <v>15</v>
      </c>
      <c r="L14" s="16"/>
    </row>
    <row r="15" customFormat="false" ht="23.85" hidden="false" customHeight="false" outlineLevel="0" collapsed="false">
      <c r="A15" s="23" t="s">
        <v>27</v>
      </c>
      <c r="B15" s="23" t="n">
        <v>11</v>
      </c>
      <c r="C15" s="23" t="s">
        <v>68</v>
      </c>
      <c r="D15" s="23" t="n">
        <v>28</v>
      </c>
      <c r="E15" s="23" t="n">
        <v>28</v>
      </c>
      <c r="F15" s="23"/>
      <c r="G15" s="24" t="s">
        <v>72</v>
      </c>
      <c r="H15" s="15"/>
      <c r="I15" s="24"/>
      <c r="J15" s="23" t="n">
        <f aca="false">IF(H15&lt;&gt;"",H15,IF(C15="Slides",F15*Synthèse!$C$3,0))</f>
        <v>0</v>
      </c>
      <c r="K15" s="23" t="n">
        <f aca="false">SUMIFS($J$2:J15,$A$2:A15,A15)</f>
        <v>15</v>
      </c>
      <c r="L15" s="16"/>
    </row>
    <row r="16" customFormat="false" ht="15" hidden="false" customHeight="false" outlineLevel="0" collapsed="false">
      <c r="A16" s="17" t="s">
        <v>27</v>
      </c>
      <c r="B16" s="17" t="n">
        <v>12</v>
      </c>
      <c r="C16" s="17" t="s">
        <v>56</v>
      </c>
      <c r="D16" s="17" t="n">
        <v>29</v>
      </c>
      <c r="E16" s="17" t="n">
        <v>29</v>
      </c>
      <c r="F16" s="17"/>
      <c r="G16" s="18" t="s">
        <v>73</v>
      </c>
      <c r="H16" s="19"/>
      <c r="I16" s="18"/>
      <c r="J16" s="17" t="n">
        <f aca="false">IF(H16&lt;&gt;"",H16,IF(C16="Slides",F16*Synthèse!$C$3,0))</f>
        <v>0</v>
      </c>
      <c r="K16" s="17" t="n">
        <f aca="false">SUMIFS($J$2:J16,$A$2:A16,A16)</f>
        <v>15</v>
      </c>
      <c r="L16" s="20"/>
    </row>
    <row r="17" customFormat="false" ht="23.85" hidden="false" customHeight="false" outlineLevel="0" collapsed="false">
      <c r="A17" s="13" t="s">
        <v>27</v>
      </c>
      <c r="B17" s="13" t="n">
        <v>13</v>
      </c>
      <c r="C17" s="13" t="s">
        <v>19</v>
      </c>
      <c r="D17" s="13" t="n">
        <v>30</v>
      </c>
      <c r="E17" s="13" t="n">
        <v>33</v>
      </c>
      <c r="F17" s="13" t="n">
        <f aca="false">E17-D17+1</f>
        <v>4</v>
      </c>
      <c r="G17" s="14" t="s">
        <v>74</v>
      </c>
      <c r="H17" s="15"/>
      <c r="I17" s="14"/>
      <c r="J17" s="13" t="n">
        <f aca="false">IF(H17&lt;&gt;"",H17,IF(C17="Slides",F17*Synthèse!$C$3,0))</f>
        <v>0</v>
      </c>
      <c r="K17" s="13" t="n">
        <f aca="false">SUMIFS($J$2:J17,$A$2:A17,A17)</f>
        <v>15</v>
      </c>
      <c r="L17" s="16"/>
    </row>
    <row r="18" customFormat="false" ht="23.85" hidden="false" customHeight="false" outlineLevel="0" collapsed="false">
      <c r="A18" s="21" t="s">
        <v>27</v>
      </c>
      <c r="B18" s="21" t="n">
        <v>14</v>
      </c>
      <c r="C18" s="21" t="s">
        <v>64</v>
      </c>
      <c r="D18" s="21" t="n">
        <v>34</v>
      </c>
      <c r="E18" s="21" t="n">
        <v>34</v>
      </c>
      <c r="F18" s="21"/>
      <c r="G18" s="22" t="s">
        <v>75</v>
      </c>
      <c r="H18" s="15" t="n">
        <v>10</v>
      </c>
      <c r="I18" s="22" t="s">
        <v>76</v>
      </c>
      <c r="J18" s="21" t="n">
        <f aca="false">IF(H18&lt;&gt;"",H18,IF(C18="Slides",F18*Synthèse!$C$3,0))</f>
        <v>10</v>
      </c>
      <c r="K18" s="21" t="n">
        <f aca="false">SUMIFS($J$2:J18,$A$2:A18,A18)</f>
        <v>25</v>
      </c>
      <c r="L18" s="16"/>
    </row>
    <row r="19" customFormat="false" ht="23.85" hidden="false" customHeight="false" outlineLevel="0" collapsed="false">
      <c r="A19" s="13" t="s">
        <v>27</v>
      </c>
      <c r="B19" s="13" t="n">
        <v>15</v>
      </c>
      <c r="C19" s="13" t="s">
        <v>19</v>
      </c>
      <c r="D19" s="13" t="n">
        <v>35</v>
      </c>
      <c r="E19" s="13" t="n">
        <v>40</v>
      </c>
      <c r="F19" s="13" t="n">
        <f aca="false">E19-D19+1</f>
        <v>6</v>
      </c>
      <c r="G19" s="14" t="s">
        <v>77</v>
      </c>
      <c r="H19" s="15"/>
      <c r="I19" s="14"/>
      <c r="J19" s="13" t="n">
        <f aca="false">IF(H19&lt;&gt;"",H19,IF(C19="Slides",F19*Synthèse!$C$3,0))</f>
        <v>0</v>
      </c>
      <c r="K19" s="13" t="n">
        <f aca="false">SUMIFS($J$2:J19,$A$2:A19,A19)</f>
        <v>25</v>
      </c>
      <c r="L19" s="16"/>
    </row>
    <row r="20" customFormat="false" ht="23.85" hidden="false" customHeight="false" outlineLevel="0" collapsed="false">
      <c r="A20" s="23" t="s">
        <v>27</v>
      </c>
      <c r="B20" s="23" t="n">
        <v>16</v>
      </c>
      <c r="C20" s="23" t="s">
        <v>68</v>
      </c>
      <c r="D20" s="23" t="n">
        <v>41</v>
      </c>
      <c r="E20" s="23" t="n">
        <v>41</v>
      </c>
      <c r="F20" s="23"/>
      <c r="G20" s="24" t="s">
        <v>78</v>
      </c>
      <c r="H20" s="15"/>
      <c r="I20" s="24"/>
      <c r="J20" s="23" t="n">
        <f aca="false">IF(H20&lt;&gt;"",H20,IF(C20="Slides",F20*Synthèse!$C$3,0))</f>
        <v>0</v>
      </c>
      <c r="K20" s="23" t="n">
        <f aca="false">SUMIFS($J$2:J20,$A$2:A20,A20)</f>
        <v>25</v>
      </c>
      <c r="L20" s="16"/>
    </row>
    <row r="21" customFormat="false" ht="15" hidden="false" customHeight="false" outlineLevel="0" collapsed="false">
      <c r="A21" s="17" t="s">
        <v>27</v>
      </c>
      <c r="B21" s="17" t="n">
        <v>17</v>
      </c>
      <c r="C21" s="17" t="s">
        <v>56</v>
      </c>
      <c r="D21" s="17" t="n">
        <v>42</v>
      </c>
      <c r="E21" s="17" t="n">
        <v>42</v>
      </c>
      <c r="F21" s="17"/>
      <c r="G21" s="18" t="s">
        <v>79</v>
      </c>
      <c r="H21" s="19"/>
      <c r="I21" s="18"/>
      <c r="J21" s="17" t="n">
        <f aca="false">IF(H21&lt;&gt;"",H21,IF(C21="Slides",F21*Synthèse!$C$3,0))</f>
        <v>0</v>
      </c>
      <c r="K21" s="17" t="n">
        <f aca="false">SUMIFS($J$2:J21,$A$2:A21,A21)</f>
        <v>25</v>
      </c>
      <c r="L21" s="20"/>
    </row>
    <row r="22" customFormat="false" ht="35.05" hidden="false" customHeight="false" outlineLevel="0" collapsed="false">
      <c r="A22" s="13" t="s">
        <v>27</v>
      </c>
      <c r="B22" s="13" t="n">
        <v>18</v>
      </c>
      <c r="C22" s="13" t="s">
        <v>19</v>
      </c>
      <c r="D22" s="13" t="n">
        <v>43</v>
      </c>
      <c r="E22" s="13" t="n">
        <v>47</v>
      </c>
      <c r="F22" s="13" t="n">
        <f aca="false">E22-D22+1</f>
        <v>5</v>
      </c>
      <c r="G22" s="14" t="s">
        <v>80</v>
      </c>
      <c r="H22" s="15"/>
      <c r="I22" s="14"/>
      <c r="J22" s="13" t="n">
        <f aca="false">IF(H22&lt;&gt;"",H22,IF(C22="Slides",F22*Synthèse!$C$3,0))</f>
        <v>0</v>
      </c>
      <c r="K22" s="13" t="n">
        <f aca="false">SUMIFS($J$2:J22,$A$2:A22,A22)</f>
        <v>25</v>
      </c>
      <c r="L22" s="16"/>
    </row>
    <row r="23" customFormat="false" ht="15" hidden="false" customHeight="false" outlineLevel="0" collapsed="false">
      <c r="A23" s="23" t="s">
        <v>27</v>
      </c>
      <c r="B23" s="23" t="n">
        <v>19</v>
      </c>
      <c r="C23" s="23" t="s">
        <v>68</v>
      </c>
      <c r="D23" s="23" t="n">
        <v>48</v>
      </c>
      <c r="E23" s="23" t="n">
        <v>48</v>
      </c>
      <c r="F23" s="23"/>
      <c r="G23" s="24" t="s">
        <v>81</v>
      </c>
      <c r="H23" s="15"/>
      <c r="I23" s="24"/>
      <c r="J23" s="23" t="n">
        <f aca="false">IF(H23&lt;&gt;"",H23,IF(C23="Slides",F23*Synthèse!$C$3,0))</f>
        <v>0</v>
      </c>
      <c r="K23" s="23" t="n">
        <f aca="false">SUMIFS($J$2:J23,$A$2:A23,A23)</f>
        <v>25</v>
      </c>
      <c r="L23" s="16"/>
    </row>
    <row r="24" customFormat="false" ht="15" hidden="false" customHeight="false" outlineLevel="0" collapsed="false">
      <c r="A24" s="17" t="s">
        <v>27</v>
      </c>
      <c r="B24" s="17" t="n">
        <v>20</v>
      </c>
      <c r="C24" s="17" t="s">
        <v>56</v>
      </c>
      <c r="D24" s="17" t="n">
        <v>49</v>
      </c>
      <c r="E24" s="17" t="n">
        <v>49</v>
      </c>
      <c r="F24" s="17"/>
      <c r="G24" s="18" t="s">
        <v>82</v>
      </c>
      <c r="H24" s="19"/>
      <c r="I24" s="18"/>
      <c r="J24" s="17" t="n">
        <f aca="false">IF(H24&lt;&gt;"",H24,IF(C24="Slides",F24*Synthèse!$C$3,0))</f>
        <v>0</v>
      </c>
      <c r="K24" s="17" t="n">
        <f aca="false">SUMIFS($J$2:J24,$A$2:A24,A24)</f>
        <v>25</v>
      </c>
      <c r="L24" s="20"/>
    </row>
    <row r="25" customFormat="false" ht="15" hidden="false" customHeight="false" outlineLevel="0" collapsed="false">
      <c r="A25" s="13" t="s">
        <v>27</v>
      </c>
      <c r="B25" s="13" t="n">
        <v>21</v>
      </c>
      <c r="C25" s="13" t="s">
        <v>19</v>
      </c>
      <c r="D25" s="13" t="n">
        <v>50</v>
      </c>
      <c r="E25" s="13" t="n">
        <v>51</v>
      </c>
      <c r="F25" s="13" t="n">
        <f aca="false">E25-D25+1</f>
        <v>2</v>
      </c>
      <c r="G25" s="14" t="s">
        <v>83</v>
      </c>
      <c r="H25" s="15"/>
      <c r="I25" s="14"/>
      <c r="J25" s="13" t="n">
        <f aca="false">IF(H25&lt;&gt;"",H25,IF(C25="Slides",F25*Synthèse!$C$3,0))</f>
        <v>0</v>
      </c>
      <c r="K25" s="13" t="n">
        <f aca="false">SUMIFS($J$2:J25,$A$2:A25,A25)</f>
        <v>25</v>
      </c>
      <c r="L25" s="16"/>
    </row>
    <row r="26" customFormat="false" ht="23.85" hidden="false" customHeight="false" outlineLevel="0" collapsed="false">
      <c r="A26" s="23" t="s">
        <v>27</v>
      </c>
      <c r="B26" s="23" t="n">
        <v>22</v>
      </c>
      <c r="C26" s="23" t="s">
        <v>68</v>
      </c>
      <c r="D26" s="23" t="n">
        <v>52</v>
      </c>
      <c r="E26" s="23" t="n">
        <v>52</v>
      </c>
      <c r="F26" s="23"/>
      <c r="G26" s="24" t="s">
        <v>84</v>
      </c>
      <c r="H26" s="15"/>
      <c r="I26" s="24"/>
      <c r="J26" s="23" t="n">
        <f aca="false">IF(H26&lt;&gt;"",H26,IF(C26="Slides",F26*Synthèse!$C$3,0))</f>
        <v>0</v>
      </c>
      <c r="K26" s="23" t="n">
        <f aca="false">SUMIFS($J$2:J26,$A$2:A26,A26)</f>
        <v>25</v>
      </c>
      <c r="L26" s="16"/>
    </row>
    <row r="27" customFormat="false" ht="15" hidden="false" customHeight="false" outlineLevel="0" collapsed="false">
      <c r="A27" s="13" t="s">
        <v>27</v>
      </c>
      <c r="B27" s="13" t="n">
        <v>23</v>
      </c>
      <c r="C27" s="13" t="s">
        <v>19</v>
      </c>
      <c r="D27" s="13" t="n">
        <v>53</v>
      </c>
      <c r="E27" s="13" t="n">
        <v>53</v>
      </c>
      <c r="F27" s="13" t="n">
        <f aca="false">E27-D27+1</f>
        <v>1</v>
      </c>
      <c r="G27" s="14" t="s">
        <v>85</v>
      </c>
      <c r="H27" s="15"/>
      <c r="I27" s="14"/>
      <c r="J27" s="13" t="n">
        <f aca="false">IF(H27&lt;&gt;"",H27,IF(C27="Slides",F27*Synthèse!$C$3,0))</f>
        <v>0</v>
      </c>
      <c r="K27" s="13" t="n">
        <f aca="false">SUMIFS($J$2:J27,$A$2:A27,A27)</f>
        <v>25</v>
      </c>
      <c r="L27" s="16"/>
    </row>
    <row r="28" customFormat="false" ht="15" hidden="false" customHeight="false" outlineLevel="0" collapsed="false">
      <c r="A28" s="17" t="s">
        <v>27</v>
      </c>
      <c r="B28" s="17" t="n">
        <v>24</v>
      </c>
      <c r="C28" s="17" t="s">
        <v>56</v>
      </c>
      <c r="D28" s="17" t="n">
        <v>54</v>
      </c>
      <c r="E28" s="17" t="n">
        <v>54</v>
      </c>
      <c r="F28" s="17"/>
      <c r="G28" s="18" t="s">
        <v>86</v>
      </c>
      <c r="H28" s="19"/>
      <c r="I28" s="18"/>
      <c r="J28" s="17" t="n">
        <f aca="false">IF(H28&lt;&gt;"",H28,IF(C28="Slides",F28*Synthèse!$C$3,0))</f>
        <v>0</v>
      </c>
      <c r="K28" s="17" t="n">
        <f aca="false">SUMIFS($J$2:J28,$A$2:A28,A28)</f>
        <v>25</v>
      </c>
      <c r="L28" s="20"/>
    </row>
    <row r="29" customFormat="false" ht="15" hidden="false" customHeight="false" outlineLevel="0" collapsed="false">
      <c r="A29" s="13" t="s">
        <v>27</v>
      </c>
      <c r="B29" s="13" t="n">
        <v>25</v>
      </c>
      <c r="C29" s="13" t="s">
        <v>19</v>
      </c>
      <c r="D29" s="13" t="n">
        <v>55</v>
      </c>
      <c r="E29" s="13" t="n">
        <v>57</v>
      </c>
      <c r="F29" s="13" t="n">
        <f aca="false">E29-D29+1</f>
        <v>3</v>
      </c>
      <c r="G29" s="14" t="s">
        <v>87</v>
      </c>
      <c r="H29" s="15"/>
      <c r="I29" s="14"/>
      <c r="J29" s="13" t="n">
        <f aca="false">IF(H29&lt;&gt;"",H29,IF(C29="Slides",F29*Synthèse!$C$3,0))</f>
        <v>0</v>
      </c>
      <c r="K29" s="13" t="n">
        <f aca="false">SUMIFS($J$2:J29,$A$2:A29,A29)</f>
        <v>25</v>
      </c>
      <c r="L29" s="16"/>
    </row>
    <row r="30" customFormat="false" ht="23.85" hidden="false" customHeight="false" outlineLevel="0" collapsed="false">
      <c r="A30" s="23" t="s">
        <v>27</v>
      </c>
      <c r="B30" s="23" t="n">
        <v>26</v>
      </c>
      <c r="C30" s="23" t="s">
        <v>68</v>
      </c>
      <c r="D30" s="23" t="n">
        <v>58</v>
      </c>
      <c r="E30" s="23" t="n">
        <v>58</v>
      </c>
      <c r="F30" s="23"/>
      <c r="G30" s="24" t="s">
        <v>88</v>
      </c>
      <c r="H30" s="15"/>
      <c r="I30" s="24"/>
      <c r="J30" s="23" t="n">
        <f aca="false">IF(H30&lt;&gt;"",H30,IF(C30="Slides",F30*Synthèse!$C$3,0))</f>
        <v>0</v>
      </c>
      <c r="K30" s="23" t="n">
        <f aca="false">SUMIFS($J$2:J30,$A$2:A30,A30)</f>
        <v>25</v>
      </c>
      <c r="L30" s="16"/>
    </row>
    <row r="31" customFormat="false" ht="15" hidden="false" customHeight="false" outlineLevel="0" collapsed="false">
      <c r="A31" s="13" t="s">
        <v>27</v>
      </c>
      <c r="B31" s="13" t="n">
        <v>27</v>
      </c>
      <c r="C31" s="13" t="s">
        <v>19</v>
      </c>
      <c r="D31" s="13" t="n">
        <v>59</v>
      </c>
      <c r="E31" s="13" t="n">
        <v>59</v>
      </c>
      <c r="F31" s="13" t="n">
        <f aca="false">E31-D31+1</f>
        <v>1</v>
      </c>
      <c r="G31" s="14" t="s">
        <v>89</v>
      </c>
      <c r="H31" s="15"/>
      <c r="I31" s="14"/>
      <c r="J31" s="13" t="n">
        <f aca="false">IF(H31&lt;&gt;"",H31,IF(C31="Slides",F31*Synthèse!$C$3,0))</f>
        <v>0</v>
      </c>
      <c r="K31" s="13" t="n">
        <f aca="false">SUMIFS($J$2:J31,$A$2:A31,A31)</f>
        <v>25</v>
      </c>
      <c r="L31" s="16"/>
    </row>
    <row r="32" customFormat="false" ht="15" hidden="false" customHeight="false" outlineLevel="0" collapsed="false">
      <c r="A32" s="13" t="s">
        <v>28</v>
      </c>
      <c r="B32" s="13" t="n">
        <v>1</v>
      </c>
      <c r="C32" s="13" t="s">
        <v>19</v>
      </c>
      <c r="D32" s="13" t="n">
        <v>2</v>
      </c>
      <c r="E32" s="13" t="n">
        <v>2</v>
      </c>
      <c r="F32" s="13" t="n">
        <f aca="false">E32-D32+1</f>
        <v>1</v>
      </c>
      <c r="G32" s="14" t="s">
        <v>59</v>
      </c>
      <c r="H32" s="15"/>
      <c r="I32" s="14"/>
      <c r="J32" s="13" t="n">
        <f aca="false">IF(H32&lt;&gt;"",H32,IF(C32="Slides",F32*Synthèse!$C$3,0))</f>
        <v>0</v>
      </c>
      <c r="K32" s="13" t="n">
        <f aca="false">SUMIFS($J$2:J32,$A$2:A32,A32)</f>
        <v>0</v>
      </c>
      <c r="L32" s="16"/>
    </row>
    <row r="33" customFormat="false" ht="15" hidden="false" customHeight="false" outlineLevel="0" collapsed="false">
      <c r="A33" s="17" t="s">
        <v>28</v>
      </c>
      <c r="B33" s="17" t="n">
        <v>2</v>
      </c>
      <c r="C33" s="17" t="s">
        <v>56</v>
      </c>
      <c r="D33" s="17" t="n">
        <v>3</v>
      </c>
      <c r="E33" s="17" t="n">
        <v>3</v>
      </c>
      <c r="F33" s="17"/>
      <c r="G33" s="18" t="s">
        <v>90</v>
      </c>
      <c r="H33" s="19"/>
      <c r="I33" s="18"/>
      <c r="J33" s="17" t="n">
        <f aca="false">IF(H33&lt;&gt;"",H33,IF(C33="Slides",F33*Synthèse!$C$3,0))</f>
        <v>0</v>
      </c>
      <c r="K33" s="17" t="n">
        <f aca="false">SUMIFS($J$2:J33,$A$2:A33,A33)</f>
        <v>0</v>
      </c>
      <c r="L33" s="20"/>
    </row>
    <row r="34" customFormat="false" ht="46.25" hidden="false" customHeight="false" outlineLevel="0" collapsed="false">
      <c r="A34" s="13" t="s">
        <v>28</v>
      </c>
      <c r="B34" s="13" t="n">
        <v>3</v>
      </c>
      <c r="C34" s="13" t="s">
        <v>19</v>
      </c>
      <c r="D34" s="13" t="n">
        <v>4</v>
      </c>
      <c r="E34" s="13" t="n">
        <v>14</v>
      </c>
      <c r="F34" s="13" t="n">
        <f aca="false">E34-D34+1</f>
        <v>11</v>
      </c>
      <c r="G34" s="14" t="s">
        <v>91</v>
      </c>
      <c r="H34" s="15"/>
      <c r="I34" s="14"/>
      <c r="J34" s="13" t="n">
        <f aca="false">IF(H34&lt;&gt;"",H34,IF(C34="Slides",F34*Synthèse!$C$3,0))</f>
        <v>0</v>
      </c>
      <c r="K34" s="13" t="n">
        <f aca="false">SUMIFS($J$2:J34,$A$2:A34,A34)</f>
        <v>0</v>
      </c>
      <c r="L34" s="16"/>
    </row>
    <row r="35" customFormat="false" ht="23.85" hidden="false" customHeight="false" outlineLevel="0" collapsed="false">
      <c r="A35" s="21" t="s">
        <v>28</v>
      </c>
      <c r="B35" s="21" t="n">
        <v>4</v>
      </c>
      <c r="C35" s="21" t="s">
        <v>64</v>
      </c>
      <c r="D35" s="21" t="n">
        <v>15</v>
      </c>
      <c r="E35" s="21" t="n">
        <v>15</v>
      </c>
      <c r="F35" s="21"/>
      <c r="G35" s="22" t="s">
        <v>92</v>
      </c>
      <c r="H35" s="15" t="n">
        <v>12</v>
      </c>
      <c r="I35" s="22" t="s">
        <v>93</v>
      </c>
      <c r="J35" s="21" t="n">
        <f aca="false">IF(H35&lt;&gt;"",H35,IF(C35="Slides",F35*Synthèse!$C$3,0))</f>
        <v>12</v>
      </c>
      <c r="K35" s="21" t="n">
        <f aca="false">SUMIFS($J$2:J35,$A$2:A35,A35)</f>
        <v>12</v>
      </c>
      <c r="L35" s="16"/>
    </row>
    <row r="36" customFormat="false" ht="15" hidden="false" customHeight="false" outlineLevel="0" collapsed="false">
      <c r="A36" s="17" t="s">
        <v>28</v>
      </c>
      <c r="B36" s="17" t="n">
        <v>5</v>
      </c>
      <c r="C36" s="17" t="s">
        <v>56</v>
      </c>
      <c r="D36" s="17" t="n">
        <v>16</v>
      </c>
      <c r="E36" s="17" t="n">
        <v>16</v>
      </c>
      <c r="F36" s="17"/>
      <c r="G36" s="18" t="s">
        <v>94</v>
      </c>
      <c r="H36" s="19"/>
      <c r="I36" s="18"/>
      <c r="J36" s="17" t="n">
        <f aca="false">IF(H36&lt;&gt;"",H36,IF(C36="Slides",F36*Synthèse!$C$3,0))</f>
        <v>0</v>
      </c>
      <c r="K36" s="17" t="n">
        <f aca="false">SUMIFS($J$2:J36,$A$2:A36,A36)</f>
        <v>12</v>
      </c>
      <c r="L36" s="20"/>
    </row>
    <row r="37" customFormat="false" ht="15" hidden="false" customHeight="false" outlineLevel="0" collapsed="false">
      <c r="A37" s="13" t="s">
        <v>28</v>
      </c>
      <c r="B37" s="13" t="n">
        <v>6</v>
      </c>
      <c r="C37" s="13" t="s">
        <v>19</v>
      </c>
      <c r="D37" s="13" t="n">
        <v>17</v>
      </c>
      <c r="E37" s="13" t="n">
        <v>18</v>
      </c>
      <c r="F37" s="13" t="n">
        <f aca="false">E37-D37+1</f>
        <v>2</v>
      </c>
      <c r="G37" s="14" t="s">
        <v>95</v>
      </c>
      <c r="H37" s="15"/>
      <c r="I37" s="14"/>
      <c r="J37" s="13" t="n">
        <f aca="false">IF(H37&lt;&gt;"",H37,IF(C37="Slides",F37*Synthèse!$C$3,0))</f>
        <v>0</v>
      </c>
      <c r="K37" s="13" t="n">
        <f aca="false">SUMIFS($J$2:J37,$A$2:A37,A37)</f>
        <v>12</v>
      </c>
      <c r="L37" s="16"/>
    </row>
    <row r="38" customFormat="false" ht="15" hidden="false" customHeight="false" outlineLevel="0" collapsed="false">
      <c r="A38" s="23" t="s">
        <v>28</v>
      </c>
      <c r="B38" s="23" t="n">
        <v>7</v>
      </c>
      <c r="C38" s="23" t="s">
        <v>68</v>
      </c>
      <c r="D38" s="23" t="n">
        <v>19</v>
      </c>
      <c r="E38" s="23" t="n">
        <v>19</v>
      </c>
      <c r="F38" s="23"/>
      <c r="G38" s="24" t="s">
        <v>96</v>
      </c>
      <c r="H38" s="15"/>
      <c r="I38" s="24"/>
      <c r="J38" s="23" t="n">
        <f aca="false">IF(H38&lt;&gt;"",H38,IF(C38="Slides",F38*Synthèse!$C$3,0))</f>
        <v>0</v>
      </c>
      <c r="K38" s="23" t="n">
        <f aca="false">SUMIFS($J$2:J38,$A$2:A38,A38)</f>
        <v>12</v>
      </c>
      <c r="L38" s="16"/>
    </row>
    <row r="39" customFormat="false" ht="15" hidden="false" customHeight="false" outlineLevel="0" collapsed="false">
      <c r="A39" s="17" t="s">
        <v>28</v>
      </c>
      <c r="B39" s="17" t="n">
        <v>8</v>
      </c>
      <c r="C39" s="17" t="s">
        <v>56</v>
      </c>
      <c r="D39" s="17" t="n">
        <v>20</v>
      </c>
      <c r="E39" s="17" t="n">
        <v>20</v>
      </c>
      <c r="F39" s="17"/>
      <c r="G39" s="18" t="s">
        <v>97</v>
      </c>
      <c r="H39" s="19"/>
      <c r="I39" s="18"/>
      <c r="J39" s="17" t="n">
        <f aca="false">IF(H39&lt;&gt;"",H39,IF(C39="Slides",F39*Synthèse!$C$3,0))</f>
        <v>0</v>
      </c>
      <c r="K39" s="17" t="n">
        <f aca="false">SUMIFS($J$2:J39,$A$2:A39,A39)</f>
        <v>12</v>
      </c>
      <c r="L39" s="20"/>
    </row>
    <row r="40" customFormat="false" ht="15" hidden="false" customHeight="false" outlineLevel="0" collapsed="false">
      <c r="A40" s="13" t="s">
        <v>28</v>
      </c>
      <c r="B40" s="13" t="n">
        <v>9</v>
      </c>
      <c r="C40" s="13" t="s">
        <v>19</v>
      </c>
      <c r="D40" s="13" t="n">
        <v>21</v>
      </c>
      <c r="E40" s="13" t="n">
        <v>21</v>
      </c>
      <c r="F40" s="13" t="n">
        <f aca="false">E40-D40+1</f>
        <v>1</v>
      </c>
      <c r="G40" s="14" t="s">
        <v>98</v>
      </c>
      <c r="H40" s="15"/>
      <c r="I40" s="14"/>
      <c r="J40" s="13" t="n">
        <f aca="false">IF(H40&lt;&gt;"",H40,IF(C40="Slides",F40*Synthèse!$C$3,0))</f>
        <v>0</v>
      </c>
      <c r="K40" s="13" t="n">
        <f aca="false">SUMIFS($J$2:J40,$A$2:A40,A40)</f>
        <v>12</v>
      </c>
      <c r="L40" s="16"/>
    </row>
    <row r="41" customFormat="false" ht="23.85" hidden="false" customHeight="false" outlineLevel="0" collapsed="false">
      <c r="A41" s="23" t="s">
        <v>28</v>
      </c>
      <c r="B41" s="23" t="n">
        <v>10</v>
      </c>
      <c r="C41" s="23" t="s">
        <v>68</v>
      </c>
      <c r="D41" s="23" t="n">
        <v>22</v>
      </c>
      <c r="E41" s="23" t="n">
        <v>22</v>
      </c>
      <c r="F41" s="23"/>
      <c r="G41" s="24" t="s">
        <v>99</v>
      </c>
      <c r="H41" s="15"/>
      <c r="I41" s="24"/>
      <c r="J41" s="23" t="n">
        <f aca="false">IF(H41&lt;&gt;"",H41,IF(C41="Slides",F41*Synthèse!$C$3,0))</f>
        <v>0</v>
      </c>
      <c r="K41" s="23" t="n">
        <f aca="false">SUMIFS($J$2:J41,$A$2:A41,A41)</f>
        <v>12</v>
      </c>
      <c r="L41" s="16"/>
    </row>
    <row r="42" customFormat="false" ht="15" hidden="false" customHeight="false" outlineLevel="0" collapsed="false">
      <c r="A42" s="13" t="s">
        <v>28</v>
      </c>
      <c r="B42" s="13" t="n">
        <v>11</v>
      </c>
      <c r="C42" s="13" t="s">
        <v>19</v>
      </c>
      <c r="D42" s="13" t="n">
        <v>23</v>
      </c>
      <c r="E42" s="13" t="n">
        <v>23</v>
      </c>
      <c r="F42" s="13" t="n">
        <f aca="false">E42-D42+1</f>
        <v>1</v>
      </c>
      <c r="G42" s="14" t="s">
        <v>100</v>
      </c>
      <c r="H42" s="15"/>
      <c r="I42" s="14"/>
      <c r="J42" s="13" t="n">
        <f aca="false">IF(H42&lt;&gt;"",H42,IF(C42="Slides",F42*Synthèse!$C$3,0))</f>
        <v>0</v>
      </c>
      <c r="K42" s="13" t="n">
        <f aca="false">SUMIFS($J$2:J42,$A$2:A42,A42)</f>
        <v>12</v>
      </c>
      <c r="L42" s="16"/>
    </row>
    <row r="43" customFormat="false" ht="15" hidden="false" customHeight="false" outlineLevel="0" collapsed="false">
      <c r="A43" s="17" t="s">
        <v>28</v>
      </c>
      <c r="B43" s="17" t="n">
        <v>12</v>
      </c>
      <c r="C43" s="17" t="s">
        <v>56</v>
      </c>
      <c r="D43" s="17" t="n">
        <v>24</v>
      </c>
      <c r="E43" s="17" t="n">
        <v>24</v>
      </c>
      <c r="F43" s="17"/>
      <c r="G43" s="18" t="s">
        <v>101</v>
      </c>
      <c r="H43" s="19"/>
      <c r="I43" s="18"/>
      <c r="J43" s="17" t="n">
        <f aca="false">IF(H43&lt;&gt;"",H43,IF(C43="Slides",F43*Synthèse!$C$3,0))</f>
        <v>0</v>
      </c>
      <c r="K43" s="17" t="n">
        <f aca="false">SUMIFS($J$2:J43,$A$2:A43,A43)</f>
        <v>12</v>
      </c>
      <c r="L43" s="20"/>
    </row>
    <row r="44" customFormat="false" ht="23.85" hidden="false" customHeight="false" outlineLevel="0" collapsed="false">
      <c r="A44" s="13" t="s">
        <v>28</v>
      </c>
      <c r="B44" s="13" t="n">
        <v>13</v>
      </c>
      <c r="C44" s="13" t="s">
        <v>19</v>
      </c>
      <c r="D44" s="13" t="n">
        <v>25</v>
      </c>
      <c r="E44" s="13" t="n">
        <v>29</v>
      </c>
      <c r="F44" s="13" t="n">
        <f aca="false">E44-D44+1</f>
        <v>5</v>
      </c>
      <c r="G44" s="14" t="s">
        <v>102</v>
      </c>
      <c r="H44" s="15"/>
      <c r="I44" s="14"/>
      <c r="J44" s="13" t="n">
        <f aca="false">IF(H44&lt;&gt;"",H44,IF(C44="Slides",F44*Synthèse!$C$3,0))</f>
        <v>0</v>
      </c>
      <c r="K44" s="13" t="n">
        <f aca="false">SUMIFS($J$2:J44,$A$2:A44,A44)</f>
        <v>12</v>
      </c>
      <c r="L44" s="16"/>
    </row>
    <row r="45" customFormat="false" ht="15" hidden="false" customHeight="false" outlineLevel="0" collapsed="false">
      <c r="A45" s="17" t="s">
        <v>28</v>
      </c>
      <c r="B45" s="17" t="n">
        <v>14</v>
      </c>
      <c r="C45" s="17" t="s">
        <v>56</v>
      </c>
      <c r="D45" s="17" t="n">
        <v>30</v>
      </c>
      <c r="E45" s="17" t="n">
        <v>30</v>
      </c>
      <c r="F45" s="17"/>
      <c r="G45" s="18" t="s">
        <v>103</v>
      </c>
      <c r="H45" s="19"/>
      <c r="I45" s="18"/>
      <c r="J45" s="17" t="n">
        <f aca="false">IF(H45&lt;&gt;"",H45,IF(C45="Slides",F45*Synthèse!$C$3,0))</f>
        <v>0</v>
      </c>
      <c r="K45" s="17" t="n">
        <f aca="false">SUMIFS($J$2:J45,$A$2:A45,A45)</f>
        <v>12</v>
      </c>
      <c r="L45" s="20"/>
    </row>
    <row r="46" customFormat="false" ht="15" hidden="false" customHeight="false" outlineLevel="0" collapsed="false">
      <c r="A46" s="13" t="s">
        <v>28</v>
      </c>
      <c r="B46" s="13" t="n">
        <v>15</v>
      </c>
      <c r="C46" s="13" t="s">
        <v>19</v>
      </c>
      <c r="D46" s="13" t="n">
        <v>31</v>
      </c>
      <c r="E46" s="13" t="n">
        <v>31</v>
      </c>
      <c r="F46" s="13" t="n">
        <f aca="false">E46-D46+1</f>
        <v>1</v>
      </c>
      <c r="G46" s="14" t="s">
        <v>104</v>
      </c>
      <c r="H46" s="15"/>
      <c r="I46" s="14"/>
      <c r="J46" s="13" t="n">
        <f aca="false">IF(H46&lt;&gt;"",H46,IF(C46="Slides",F46*Synthèse!$C$3,0))</f>
        <v>0</v>
      </c>
      <c r="K46" s="13" t="n">
        <f aca="false">SUMIFS($J$2:J46,$A$2:A46,A46)</f>
        <v>12</v>
      </c>
      <c r="L46" s="16"/>
    </row>
    <row r="47" customFormat="false" ht="23.85" hidden="false" customHeight="false" outlineLevel="0" collapsed="false">
      <c r="A47" s="23" t="s">
        <v>28</v>
      </c>
      <c r="B47" s="23" t="n">
        <v>16</v>
      </c>
      <c r="C47" s="23" t="s">
        <v>68</v>
      </c>
      <c r="D47" s="23" t="n">
        <v>32</v>
      </c>
      <c r="E47" s="23" t="n">
        <v>32</v>
      </c>
      <c r="F47" s="23"/>
      <c r="G47" s="24" t="s">
        <v>105</v>
      </c>
      <c r="H47" s="15"/>
      <c r="I47" s="24"/>
      <c r="J47" s="23" t="n">
        <f aca="false">IF(H47&lt;&gt;"",H47,IF(C47="Slides",F47*Synthèse!$C$3,0))</f>
        <v>0</v>
      </c>
      <c r="K47" s="23" t="n">
        <f aca="false">SUMIFS($J$2:J47,$A$2:A47,A47)</f>
        <v>12</v>
      </c>
      <c r="L47" s="16"/>
    </row>
    <row r="48" customFormat="false" ht="15" hidden="false" customHeight="false" outlineLevel="0" collapsed="false">
      <c r="A48" s="13" t="s">
        <v>28</v>
      </c>
      <c r="B48" s="13" t="n">
        <v>17</v>
      </c>
      <c r="C48" s="13" t="s">
        <v>19</v>
      </c>
      <c r="D48" s="13" t="n">
        <v>33</v>
      </c>
      <c r="E48" s="13" t="n">
        <v>33</v>
      </c>
      <c r="F48" s="13" t="n">
        <f aca="false">E48-D48+1</f>
        <v>1</v>
      </c>
      <c r="G48" s="14" t="s">
        <v>106</v>
      </c>
      <c r="H48" s="15"/>
      <c r="I48" s="14"/>
      <c r="J48" s="13" t="n">
        <f aca="false">IF(H48&lt;&gt;"",H48,IF(C48="Slides",F48*Synthèse!$C$3,0))</f>
        <v>0</v>
      </c>
      <c r="K48" s="13" t="n">
        <f aca="false">SUMIFS($J$2:J48,$A$2:A48,A48)</f>
        <v>12</v>
      </c>
      <c r="L48" s="16"/>
    </row>
    <row r="49" customFormat="false" ht="15" hidden="false" customHeight="false" outlineLevel="0" collapsed="false">
      <c r="A49" s="17" t="s">
        <v>28</v>
      </c>
      <c r="B49" s="17" t="n">
        <v>18</v>
      </c>
      <c r="C49" s="17" t="s">
        <v>56</v>
      </c>
      <c r="D49" s="17" t="n">
        <v>34</v>
      </c>
      <c r="E49" s="17" t="n">
        <v>34</v>
      </c>
      <c r="F49" s="17"/>
      <c r="G49" s="18" t="s">
        <v>107</v>
      </c>
      <c r="H49" s="19"/>
      <c r="I49" s="18"/>
      <c r="J49" s="17" t="n">
        <f aca="false">IF(H49&lt;&gt;"",H49,IF(C49="Slides",F49*Synthèse!$C$3,0))</f>
        <v>0</v>
      </c>
      <c r="K49" s="17" t="n">
        <f aca="false">SUMIFS($J$2:J49,$A$2:A49,A49)</f>
        <v>12</v>
      </c>
      <c r="L49" s="20"/>
    </row>
    <row r="50" customFormat="false" ht="15" hidden="false" customHeight="false" outlineLevel="0" collapsed="false">
      <c r="A50" s="13" t="s">
        <v>28</v>
      </c>
      <c r="B50" s="13" t="n">
        <v>19</v>
      </c>
      <c r="C50" s="13" t="s">
        <v>19</v>
      </c>
      <c r="D50" s="13" t="n">
        <v>35</v>
      </c>
      <c r="E50" s="13" t="n">
        <v>35</v>
      </c>
      <c r="F50" s="13" t="n">
        <f aca="false">E50-D50+1</f>
        <v>1</v>
      </c>
      <c r="G50" s="14" t="s">
        <v>108</v>
      </c>
      <c r="H50" s="15"/>
      <c r="I50" s="14"/>
      <c r="J50" s="13" t="n">
        <f aca="false">IF(H50&lt;&gt;"",H50,IF(C50="Slides",F50*Synthèse!$C$3,0))</f>
        <v>0</v>
      </c>
      <c r="K50" s="13" t="n">
        <f aca="false">SUMIFS($J$2:J50,$A$2:A50,A50)</f>
        <v>12</v>
      </c>
      <c r="L50" s="16"/>
    </row>
    <row r="51" customFormat="false" ht="15" hidden="false" customHeight="false" outlineLevel="0" collapsed="false">
      <c r="A51" s="23" t="s">
        <v>28</v>
      </c>
      <c r="B51" s="23" t="n">
        <v>20</v>
      </c>
      <c r="C51" s="23" t="s">
        <v>68</v>
      </c>
      <c r="D51" s="23" t="n">
        <v>36</v>
      </c>
      <c r="E51" s="23" t="n">
        <v>36</v>
      </c>
      <c r="F51" s="23"/>
      <c r="G51" s="24" t="s">
        <v>109</v>
      </c>
      <c r="H51" s="15"/>
      <c r="I51" s="24"/>
      <c r="J51" s="23" t="n">
        <f aca="false">IF(H51&lt;&gt;"",H51,IF(C51="Slides",F51*Synthèse!$C$3,0))</f>
        <v>0</v>
      </c>
      <c r="K51" s="23" t="n">
        <f aca="false">SUMIFS($J$2:J51,$A$2:A51,A51)</f>
        <v>12</v>
      </c>
      <c r="L51" s="16"/>
    </row>
    <row r="52" customFormat="false" ht="15" hidden="false" customHeight="false" outlineLevel="0" collapsed="false">
      <c r="A52" s="13" t="s">
        <v>28</v>
      </c>
      <c r="B52" s="13" t="n">
        <v>21</v>
      </c>
      <c r="C52" s="13" t="s">
        <v>19</v>
      </c>
      <c r="D52" s="13" t="n">
        <v>37</v>
      </c>
      <c r="E52" s="13" t="n">
        <v>37</v>
      </c>
      <c r="F52" s="13" t="n">
        <f aca="false">E52-D52+1</f>
        <v>1</v>
      </c>
      <c r="G52" s="14" t="s">
        <v>110</v>
      </c>
      <c r="H52" s="15"/>
      <c r="I52" s="14"/>
      <c r="J52" s="13" t="n">
        <f aca="false">IF(H52&lt;&gt;"",H52,IF(C52="Slides",F52*Synthèse!$C$3,0))</f>
        <v>0</v>
      </c>
      <c r="K52" s="13" t="n">
        <f aca="false">SUMIFS($J$2:J52,$A$2:A52,A52)</f>
        <v>12</v>
      </c>
      <c r="L52" s="16"/>
    </row>
    <row r="53" customFormat="false" ht="15" hidden="false" customHeight="false" outlineLevel="0" collapsed="false">
      <c r="A53" s="17" t="s">
        <v>28</v>
      </c>
      <c r="B53" s="17" t="n">
        <v>22</v>
      </c>
      <c r="C53" s="17" t="s">
        <v>56</v>
      </c>
      <c r="D53" s="17" t="n">
        <v>38</v>
      </c>
      <c r="E53" s="17" t="n">
        <v>38</v>
      </c>
      <c r="F53" s="17"/>
      <c r="G53" s="18" t="s">
        <v>111</v>
      </c>
      <c r="H53" s="19"/>
      <c r="I53" s="18"/>
      <c r="J53" s="17" t="n">
        <f aca="false">IF(H53&lt;&gt;"",H53,IF(C53="Slides",F53*Synthèse!$C$3,0))</f>
        <v>0</v>
      </c>
      <c r="K53" s="17" t="n">
        <f aca="false">SUMIFS($J$2:J53,$A$2:A53,A53)</f>
        <v>12</v>
      </c>
      <c r="L53" s="20"/>
    </row>
    <row r="54" customFormat="false" ht="15" hidden="false" customHeight="false" outlineLevel="0" collapsed="false">
      <c r="A54" s="13" t="s">
        <v>28</v>
      </c>
      <c r="B54" s="13" t="n">
        <v>23</v>
      </c>
      <c r="C54" s="13" t="s">
        <v>19</v>
      </c>
      <c r="D54" s="13" t="n">
        <v>39</v>
      </c>
      <c r="E54" s="13" t="n">
        <v>40</v>
      </c>
      <c r="F54" s="13" t="n">
        <f aca="false">E54-D54+1</f>
        <v>2</v>
      </c>
      <c r="G54" s="14" t="s">
        <v>112</v>
      </c>
      <c r="H54" s="15"/>
      <c r="I54" s="14"/>
      <c r="J54" s="13" t="n">
        <f aca="false">IF(H54&lt;&gt;"",H54,IF(C54="Slides",F54*Synthèse!$C$3,0))</f>
        <v>0</v>
      </c>
      <c r="K54" s="13" t="n">
        <f aca="false">SUMIFS($J$2:J54,$A$2:A54,A54)</f>
        <v>12</v>
      </c>
      <c r="L54" s="16"/>
    </row>
    <row r="55" customFormat="false" ht="15" hidden="false" customHeight="false" outlineLevel="0" collapsed="false">
      <c r="A55" s="23" t="s">
        <v>28</v>
      </c>
      <c r="B55" s="23" t="n">
        <v>24</v>
      </c>
      <c r="C55" s="23" t="s">
        <v>68</v>
      </c>
      <c r="D55" s="23" t="n">
        <v>41</v>
      </c>
      <c r="E55" s="23" t="n">
        <v>41</v>
      </c>
      <c r="F55" s="23"/>
      <c r="G55" s="24" t="s">
        <v>113</v>
      </c>
      <c r="H55" s="15"/>
      <c r="I55" s="24"/>
      <c r="J55" s="23" t="n">
        <f aca="false">IF(H55&lt;&gt;"",H55,IF(C55="Slides",F55*Synthèse!$C$3,0))</f>
        <v>0</v>
      </c>
      <c r="K55" s="23" t="n">
        <f aca="false">SUMIFS($J$2:J55,$A$2:A55,A55)</f>
        <v>12</v>
      </c>
      <c r="L55" s="16"/>
    </row>
    <row r="56" customFormat="false" ht="15" hidden="false" customHeight="false" outlineLevel="0" collapsed="false">
      <c r="A56" s="13" t="s">
        <v>28</v>
      </c>
      <c r="B56" s="13" t="n">
        <v>25</v>
      </c>
      <c r="C56" s="13" t="s">
        <v>19</v>
      </c>
      <c r="D56" s="13" t="n">
        <v>42</v>
      </c>
      <c r="E56" s="13" t="n">
        <v>42</v>
      </c>
      <c r="F56" s="13" t="n">
        <f aca="false">E56-D56+1</f>
        <v>1</v>
      </c>
      <c r="G56" s="14" t="s">
        <v>114</v>
      </c>
      <c r="H56" s="15"/>
      <c r="I56" s="14"/>
      <c r="J56" s="13" t="n">
        <f aca="false">IF(H56&lt;&gt;"",H56,IF(C56="Slides",F56*Synthèse!$C$3,0))</f>
        <v>0</v>
      </c>
      <c r="K56" s="13" t="n">
        <f aca="false">SUMIFS($J$2:J56,$A$2:A56,A56)</f>
        <v>12</v>
      </c>
      <c r="L56" s="16"/>
    </row>
    <row r="57" customFormat="false" ht="15" hidden="false" customHeight="false" outlineLevel="0" collapsed="false">
      <c r="A57" s="17" t="s">
        <v>28</v>
      </c>
      <c r="B57" s="17" t="n">
        <v>26</v>
      </c>
      <c r="C57" s="17" t="s">
        <v>56</v>
      </c>
      <c r="D57" s="17" t="n">
        <v>43</v>
      </c>
      <c r="E57" s="17" t="n">
        <v>43</v>
      </c>
      <c r="F57" s="17"/>
      <c r="G57" s="18" t="s">
        <v>115</v>
      </c>
      <c r="H57" s="19"/>
      <c r="I57" s="18"/>
      <c r="J57" s="17" t="n">
        <f aca="false">IF(H57&lt;&gt;"",H57,IF(C57="Slides",F57*Synthèse!$C$3,0))</f>
        <v>0</v>
      </c>
      <c r="K57" s="17" t="n">
        <f aca="false">SUMIFS($J$2:J57,$A$2:A57,A57)</f>
        <v>12</v>
      </c>
      <c r="L57" s="20"/>
    </row>
    <row r="58" customFormat="false" ht="15" hidden="false" customHeight="false" outlineLevel="0" collapsed="false">
      <c r="A58" s="13" t="s">
        <v>28</v>
      </c>
      <c r="B58" s="13" t="n">
        <v>27</v>
      </c>
      <c r="C58" s="13" t="s">
        <v>19</v>
      </c>
      <c r="D58" s="13" t="n">
        <v>44</v>
      </c>
      <c r="E58" s="13" t="n">
        <v>45</v>
      </c>
      <c r="F58" s="13" t="n">
        <f aca="false">E58-D58+1</f>
        <v>2</v>
      </c>
      <c r="G58" s="14" t="s">
        <v>116</v>
      </c>
      <c r="H58" s="15"/>
      <c r="I58" s="14"/>
      <c r="J58" s="13" t="n">
        <f aca="false">IF(H58&lt;&gt;"",H58,IF(C58="Slides",F58*Synthèse!$C$3,0))</f>
        <v>0</v>
      </c>
      <c r="K58" s="13" t="n">
        <f aca="false">SUMIFS($J$2:J58,$A$2:A58,A58)</f>
        <v>12</v>
      </c>
      <c r="L58" s="16"/>
    </row>
    <row r="59" customFormat="false" ht="23.85" hidden="false" customHeight="false" outlineLevel="0" collapsed="false">
      <c r="A59" s="23" t="s">
        <v>28</v>
      </c>
      <c r="B59" s="23" t="n">
        <v>28</v>
      </c>
      <c r="C59" s="23" t="s">
        <v>68</v>
      </c>
      <c r="D59" s="23" t="n">
        <v>46</v>
      </c>
      <c r="E59" s="23" t="n">
        <v>46</v>
      </c>
      <c r="F59" s="23"/>
      <c r="G59" s="24" t="s">
        <v>117</v>
      </c>
      <c r="H59" s="15"/>
      <c r="I59" s="24"/>
      <c r="J59" s="23" t="n">
        <f aca="false">IF(H59&lt;&gt;"",H59,IF(C59="Slides",F59*Synthèse!$C$3,0))</f>
        <v>0</v>
      </c>
      <c r="K59" s="23" t="n">
        <f aca="false">SUMIFS($J$2:J59,$A$2:A59,A59)</f>
        <v>12</v>
      </c>
      <c r="L59" s="16"/>
    </row>
    <row r="60" customFormat="false" ht="15" hidden="false" customHeight="false" outlineLevel="0" collapsed="false">
      <c r="A60" s="13" t="s">
        <v>28</v>
      </c>
      <c r="B60" s="13" t="n">
        <v>29</v>
      </c>
      <c r="C60" s="13" t="s">
        <v>19</v>
      </c>
      <c r="D60" s="13" t="n">
        <v>47</v>
      </c>
      <c r="E60" s="13" t="n">
        <v>48</v>
      </c>
      <c r="F60" s="13" t="n">
        <f aca="false">E60-D60+1</f>
        <v>2</v>
      </c>
      <c r="G60" s="14" t="s">
        <v>118</v>
      </c>
      <c r="H60" s="15"/>
      <c r="I60" s="14"/>
      <c r="J60" s="13" t="n">
        <f aca="false">IF(H60&lt;&gt;"",H60,IF(C60="Slides",F60*Synthèse!$C$3,0))</f>
        <v>0</v>
      </c>
      <c r="K60" s="13" t="n">
        <f aca="false">SUMIFS($J$2:J60,$A$2:A60,A60)</f>
        <v>12</v>
      </c>
      <c r="L60" s="16"/>
    </row>
    <row r="61" customFormat="false" ht="15" hidden="false" customHeight="false" outlineLevel="0" collapsed="false">
      <c r="A61" s="13" t="s">
        <v>29</v>
      </c>
      <c r="B61" s="13" t="n">
        <v>1</v>
      </c>
      <c r="C61" s="13" t="s">
        <v>19</v>
      </c>
      <c r="D61" s="13" t="n">
        <v>2</v>
      </c>
      <c r="E61" s="13" t="n">
        <v>2</v>
      </c>
      <c r="F61" s="13" t="n">
        <f aca="false">E61-D61+1</f>
        <v>1</v>
      </c>
      <c r="G61" s="14" t="s">
        <v>59</v>
      </c>
      <c r="H61" s="15"/>
      <c r="I61" s="14"/>
      <c r="J61" s="13" t="n">
        <f aca="false">IF(H61&lt;&gt;"",H61,IF(C61="Slides",F61*Synthèse!$C$3,0))</f>
        <v>0</v>
      </c>
      <c r="K61" s="13" t="n">
        <f aca="false">SUMIFS($J$2:J61,$A$2:A61,A61)</f>
        <v>0</v>
      </c>
      <c r="L61" s="16"/>
    </row>
    <row r="62" customFormat="false" ht="15" hidden="false" customHeight="false" outlineLevel="0" collapsed="false">
      <c r="A62" s="17" t="s">
        <v>29</v>
      </c>
      <c r="B62" s="17" t="n">
        <v>2</v>
      </c>
      <c r="C62" s="17" t="s">
        <v>56</v>
      </c>
      <c r="D62" s="17" t="n">
        <v>3</v>
      </c>
      <c r="E62" s="17" t="n">
        <v>3</v>
      </c>
      <c r="F62" s="17"/>
      <c r="G62" s="18" t="s">
        <v>119</v>
      </c>
      <c r="H62" s="19"/>
      <c r="I62" s="18"/>
      <c r="J62" s="17" t="n">
        <f aca="false">IF(H62&lt;&gt;"",H62,IF(C62="Slides",F62*Synthèse!$C$3,0))</f>
        <v>0</v>
      </c>
      <c r="K62" s="17" t="n">
        <f aca="false">SUMIFS($J$2:J62,$A$2:A62,A62)</f>
        <v>0</v>
      </c>
      <c r="L62" s="20"/>
    </row>
    <row r="63" customFormat="false" ht="23.85" hidden="false" customHeight="false" outlineLevel="0" collapsed="false">
      <c r="A63" s="21" t="s">
        <v>29</v>
      </c>
      <c r="B63" s="21" t="n">
        <v>3</v>
      </c>
      <c r="C63" s="21" t="s">
        <v>64</v>
      </c>
      <c r="D63" s="21" t="n">
        <v>4</v>
      </c>
      <c r="E63" s="21" t="n">
        <v>4</v>
      </c>
      <c r="F63" s="21"/>
      <c r="G63" s="22" t="s">
        <v>120</v>
      </c>
      <c r="H63" s="15" t="n">
        <v>20</v>
      </c>
      <c r="I63" s="22" t="s">
        <v>121</v>
      </c>
      <c r="J63" s="21" t="n">
        <f aca="false">IF(H63&lt;&gt;"",H63,IF(C63="Slides",F63*Synthèse!$C$3,0))</f>
        <v>20</v>
      </c>
      <c r="K63" s="21" t="n">
        <f aca="false">SUMIFS($J$2:J63,$A$2:A63,A63)</f>
        <v>20</v>
      </c>
      <c r="L63" s="16"/>
    </row>
    <row r="64" customFormat="false" ht="15" hidden="false" customHeight="false" outlineLevel="0" collapsed="false">
      <c r="A64" s="13" t="s">
        <v>29</v>
      </c>
      <c r="B64" s="13" t="n">
        <v>4</v>
      </c>
      <c r="C64" s="13" t="s">
        <v>19</v>
      </c>
      <c r="D64" s="13" t="n">
        <v>5</v>
      </c>
      <c r="E64" s="13" t="n">
        <v>7</v>
      </c>
      <c r="F64" s="13" t="n">
        <f aca="false">E64-D64+1</f>
        <v>3</v>
      </c>
      <c r="G64" s="14" t="s">
        <v>122</v>
      </c>
      <c r="H64" s="15"/>
      <c r="I64" s="14"/>
      <c r="J64" s="13" t="n">
        <f aca="false">IF(H64&lt;&gt;"",H64,IF(C64="Slides",F64*Synthèse!$C$3,0))</f>
        <v>0</v>
      </c>
      <c r="K64" s="13" t="n">
        <f aca="false">SUMIFS($J$2:J64,$A$2:A64,A64)</f>
        <v>20</v>
      </c>
      <c r="L64" s="16"/>
    </row>
    <row r="65" customFormat="false" ht="15" hidden="false" customHeight="false" outlineLevel="0" collapsed="false">
      <c r="A65" s="17" t="s">
        <v>29</v>
      </c>
      <c r="B65" s="17" t="n">
        <v>5</v>
      </c>
      <c r="C65" s="17" t="s">
        <v>56</v>
      </c>
      <c r="D65" s="17" t="n">
        <v>8</v>
      </c>
      <c r="E65" s="17" t="n">
        <v>8</v>
      </c>
      <c r="F65" s="17"/>
      <c r="G65" s="18" t="s">
        <v>123</v>
      </c>
      <c r="H65" s="19"/>
      <c r="I65" s="18"/>
      <c r="J65" s="17" t="n">
        <f aca="false">IF(H65&lt;&gt;"",H65,IF(C65="Slides",F65*Synthèse!$C$3,0))</f>
        <v>0</v>
      </c>
      <c r="K65" s="17" t="n">
        <f aca="false">SUMIFS($J$2:J65,$A$2:A65,A65)</f>
        <v>20</v>
      </c>
      <c r="L65" s="20"/>
    </row>
    <row r="66" customFormat="false" ht="15" hidden="false" customHeight="false" outlineLevel="0" collapsed="false">
      <c r="A66" s="13" t="s">
        <v>29</v>
      </c>
      <c r="B66" s="13" t="n">
        <v>6</v>
      </c>
      <c r="C66" s="13" t="s">
        <v>19</v>
      </c>
      <c r="D66" s="13" t="n">
        <v>9</v>
      </c>
      <c r="E66" s="13" t="n">
        <v>12</v>
      </c>
      <c r="F66" s="13" t="n">
        <f aca="false">E66-D66+1</f>
        <v>4</v>
      </c>
      <c r="G66" s="14" t="s">
        <v>124</v>
      </c>
      <c r="H66" s="15"/>
      <c r="I66" s="14"/>
      <c r="J66" s="13" t="n">
        <f aca="false">IF(H66&lt;&gt;"",H66,IF(C66="Slides",F66*Synthèse!$C$3,0))</f>
        <v>0</v>
      </c>
      <c r="K66" s="13" t="n">
        <f aca="false">SUMIFS($J$2:J66,$A$2:A66,A66)</f>
        <v>20</v>
      </c>
      <c r="L66" s="16"/>
    </row>
    <row r="67" customFormat="false" ht="23.85" hidden="false" customHeight="false" outlineLevel="0" collapsed="false">
      <c r="A67" s="23" t="s">
        <v>29</v>
      </c>
      <c r="B67" s="23" t="n">
        <v>7</v>
      </c>
      <c r="C67" s="23" t="s">
        <v>68</v>
      </c>
      <c r="D67" s="23" t="n">
        <v>13</v>
      </c>
      <c r="E67" s="23" t="n">
        <v>13</v>
      </c>
      <c r="F67" s="23"/>
      <c r="G67" s="24" t="s">
        <v>125</v>
      </c>
      <c r="H67" s="15"/>
      <c r="I67" s="24"/>
      <c r="J67" s="23" t="n">
        <f aca="false">IF(H67&lt;&gt;"",H67,IF(C67="Slides",F67*Synthèse!$C$3,0))</f>
        <v>0</v>
      </c>
      <c r="K67" s="23" t="n">
        <f aca="false">SUMIFS($J$2:J67,$A$2:A67,A67)</f>
        <v>20</v>
      </c>
      <c r="L67" s="16"/>
    </row>
    <row r="68" customFormat="false" ht="15" hidden="false" customHeight="false" outlineLevel="0" collapsed="false">
      <c r="A68" s="17" t="s">
        <v>29</v>
      </c>
      <c r="B68" s="17" t="n">
        <v>8</v>
      </c>
      <c r="C68" s="17" t="s">
        <v>56</v>
      </c>
      <c r="D68" s="17" t="n">
        <v>14</v>
      </c>
      <c r="E68" s="17" t="n">
        <v>14</v>
      </c>
      <c r="F68" s="17"/>
      <c r="G68" s="18" t="s">
        <v>126</v>
      </c>
      <c r="H68" s="19"/>
      <c r="I68" s="18"/>
      <c r="J68" s="17" t="n">
        <f aca="false">IF(H68&lt;&gt;"",H68,IF(C68="Slides",F68*Synthèse!$C$3,0))</f>
        <v>0</v>
      </c>
      <c r="K68" s="17" t="n">
        <f aca="false">SUMIFS($J$2:J68,$A$2:A68,A68)</f>
        <v>20</v>
      </c>
      <c r="L68" s="20"/>
    </row>
    <row r="69" customFormat="false" ht="15" hidden="false" customHeight="false" outlineLevel="0" collapsed="false">
      <c r="A69" s="13" t="s">
        <v>29</v>
      </c>
      <c r="B69" s="13" t="n">
        <v>9</v>
      </c>
      <c r="C69" s="13" t="s">
        <v>19</v>
      </c>
      <c r="D69" s="13" t="n">
        <v>15</v>
      </c>
      <c r="E69" s="13" t="n">
        <v>15</v>
      </c>
      <c r="F69" s="13" t="n">
        <f aca="false">E69-D69+1</f>
        <v>1</v>
      </c>
      <c r="G69" s="14" t="s">
        <v>127</v>
      </c>
      <c r="H69" s="15"/>
      <c r="I69" s="14"/>
      <c r="J69" s="13" t="n">
        <f aca="false">IF(H69&lt;&gt;"",H69,IF(C69="Slides",F69*Synthèse!$C$3,0))</f>
        <v>0</v>
      </c>
      <c r="K69" s="13" t="n">
        <f aca="false">SUMIFS($J$2:J69,$A$2:A69,A69)</f>
        <v>20</v>
      </c>
      <c r="L69" s="16"/>
    </row>
    <row r="70" customFormat="false" ht="23.85" hidden="false" customHeight="false" outlineLevel="0" collapsed="false">
      <c r="A70" s="23" t="s">
        <v>29</v>
      </c>
      <c r="B70" s="23" t="n">
        <v>10</v>
      </c>
      <c r="C70" s="23" t="s">
        <v>68</v>
      </c>
      <c r="D70" s="23" t="n">
        <v>16</v>
      </c>
      <c r="E70" s="23" t="n">
        <v>16</v>
      </c>
      <c r="F70" s="23"/>
      <c r="G70" s="24" t="s">
        <v>128</v>
      </c>
      <c r="H70" s="15"/>
      <c r="I70" s="24"/>
      <c r="J70" s="23" t="n">
        <f aca="false">IF(H70&lt;&gt;"",H70,IF(C70="Slides",F70*Synthèse!$C$3,0))</f>
        <v>0</v>
      </c>
      <c r="K70" s="23" t="n">
        <f aca="false">SUMIFS($J$2:J70,$A$2:A70,A70)</f>
        <v>20</v>
      </c>
      <c r="L70" s="16"/>
    </row>
    <row r="71" customFormat="false" ht="15" hidden="false" customHeight="false" outlineLevel="0" collapsed="false">
      <c r="A71" s="17" t="s">
        <v>29</v>
      </c>
      <c r="B71" s="17" t="n">
        <v>11</v>
      </c>
      <c r="C71" s="17" t="s">
        <v>56</v>
      </c>
      <c r="D71" s="17" t="n">
        <v>17</v>
      </c>
      <c r="E71" s="17" t="n">
        <v>17</v>
      </c>
      <c r="F71" s="17"/>
      <c r="G71" s="18" t="s">
        <v>129</v>
      </c>
      <c r="H71" s="19"/>
      <c r="I71" s="18"/>
      <c r="J71" s="17" t="n">
        <f aca="false">IF(H71&lt;&gt;"",H71,IF(C71="Slides",F71*Synthèse!$C$3,0))</f>
        <v>0</v>
      </c>
      <c r="K71" s="17" t="n">
        <f aca="false">SUMIFS($J$2:J71,$A$2:A71,A71)</f>
        <v>20</v>
      </c>
      <c r="L71" s="20"/>
    </row>
    <row r="72" customFormat="false" ht="15" hidden="false" customHeight="false" outlineLevel="0" collapsed="false">
      <c r="A72" s="13" t="s">
        <v>29</v>
      </c>
      <c r="B72" s="13" t="n">
        <v>12</v>
      </c>
      <c r="C72" s="13" t="s">
        <v>19</v>
      </c>
      <c r="D72" s="13" t="n">
        <v>18</v>
      </c>
      <c r="E72" s="13" t="n">
        <v>20</v>
      </c>
      <c r="F72" s="13" t="n">
        <f aca="false">E72-D72+1</f>
        <v>3</v>
      </c>
      <c r="G72" s="14" t="s">
        <v>130</v>
      </c>
      <c r="H72" s="15"/>
      <c r="I72" s="14"/>
      <c r="J72" s="13" t="n">
        <f aca="false">IF(H72&lt;&gt;"",H72,IF(C72="Slides",F72*Synthèse!$C$3,0))</f>
        <v>0</v>
      </c>
      <c r="K72" s="13" t="n">
        <f aca="false">SUMIFS($J$2:J72,$A$2:A72,A72)</f>
        <v>20</v>
      </c>
      <c r="L72" s="16"/>
    </row>
    <row r="73" customFormat="false" ht="15" hidden="false" customHeight="false" outlineLevel="0" collapsed="false">
      <c r="A73" s="23" t="s">
        <v>29</v>
      </c>
      <c r="B73" s="23" t="n">
        <v>13</v>
      </c>
      <c r="C73" s="23" t="s">
        <v>68</v>
      </c>
      <c r="D73" s="23" t="n">
        <v>21</v>
      </c>
      <c r="E73" s="23" t="n">
        <v>21</v>
      </c>
      <c r="F73" s="23"/>
      <c r="G73" s="24" t="s">
        <v>131</v>
      </c>
      <c r="H73" s="15"/>
      <c r="I73" s="24"/>
      <c r="J73" s="23" t="n">
        <f aca="false">IF(H73&lt;&gt;"",H73,IF(C73="Slides",F73*Synthèse!$C$3,0))</f>
        <v>0</v>
      </c>
      <c r="K73" s="23" t="n">
        <f aca="false">SUMIFS($J$2:J73,$A$2:A73,A73)</f>
        <v>20</v>
      </c>
      <c r="L73" s="16"/>
    </row>
    <row r="74" customFormat="false" ht="15" hidden="false" customHeight="false" outlineLevel="0" collapsed="false">
      <c r="A74" s="17" t="s">
        <v>29</v>
      </c>
      <c r="B74" s="17" t="n">
        <v>14</v>
      </c>
      <c r="C74" s="17" t="s">
        <v>56</v>
      </c>
      <c r="D74" s="17" t="n">
        <v>22</v>
      </c>
      <c r="E74" s="17" t="n">
        <v>22</v>
      </c>
      <c r="F74" s="17"/>
      <c r="G74" s="18" t="s">
        <v>132</v>
      </c>
      <c r="H74" s="19"/>
      <c r="I74" s="18"/>
      <c r="J74" s="17" t="n">
        <f aca="false">IF(H74&lt;&gt;"",H74,IF(C74="Slides",F74*Synthèse!$C$3,0))</f>
        <v>0</v>
      </c>
      <c r="K74" s="17" t="n">
        <f aca="false">SUMIFS($J$2:J74,$A$2:A74,A74)</f>
        <v>20</v>
      </c>
      <c r="L74" s="20"/>
    </row>
    <row r="75" customFormat="false" ht="23.85" hidden="false" customHeight="false" outlineLevel="0" collapsed="false">
      <c r="A75" s="13" t="s">
        <v>29</v>
      </c>
      <c r="B75" s="13" t="n">
        <v>15</v>
      </c>
      <c r="C75" s="13" t="s">
        <v>19</v>
      </c>
      <c r="D75" s="13" t="n">
        <v>23</v>
      </c>
      <c r="E75" s="13" t="n">
        <v>25</v>
      </c>
      <c r="F75" s="13" t="n">
        <f aca="false">E75-D75+1</f>
        <v>3</v>
      </c>
      <c r="G75" s="14" t="s">
        <v>133</v>
      </c>
      <c r="H75" s="15"/>
      <c r="I75" s="14"/>
      <c r="J75" s="13" t="n">
        <f aca="false">IF(H75&lt;&gt;"",H75,IF(C75="Slides",F75*Synthèse!$C$3,0))</f>
        <v>0</v>
      </c>
      <c r="K75" s="13" t="n">
        <f aca="false">SUMIFS($J$2:J75,$A$2:A75,A75)</f>
        <v>20</v>
      </c>
      <c r="L75" s="16"/>
    </row>
    <row r="76" customFormat="false" ht="23.85" hidden="false" customHeight="false" outlineLevel="0" collapsed="false">
      <c r="A76" s="23" t="s">
        <v>29</v>
      </c>
      <c r="B76" s="23" t="n">
        <v>16</v>
      </c>
      <c r="C76" s="23" t="s">
        <v>68</v>
      </c>
      <c r="D76" s="23" t="n">
        <v>26</v>
      </c>
      <c r="E76" s="23" t="n">
        <v>26</v>
      </c>
      <c r="F76" s="23"/>
      <c r="G76" s="24" t="s">
        <v>134</v>
      </c>
      <c r="H76" s="15"/>
      <c r="I76" s="24"/>
      <c r="J76" s="23" t="n">
        <f aca="false">IF(H76&lt;&gt;"",H76,IF(C76="Slides",F76*Synthèse!$C$3,0))</f>
        <v>0</v>
      </c>
      <c r="K76" s="23" t="n">
        <f aca="false">SUMIFS($J$2:J76,$A$2:A76,A76)</f>
        <v>20</v>
      </c>
      <c r="L76" s="16"/>
    </row>
    <row r="77" customFormat="false" ht="15" hidden="false" customHeight="false" outlineLevel="0" collapsed="false">
      <c r="A77" s="13" t="s">
        <v>29</v>
      </c>
      <c r="B77" s="13" t="n">
        <v>17</v>
      </c>
      <c r="C77" s="13" t="s">
        <v>19</v>
      </c>
      <c r="D77" s="13" t="n">
        <v>27</v>
      </c>
      <c r="E77" s="13" t="n">
        <v>27</v>
      </c>
      <c r="F77" s="13" t="n">
        <f aca="false">E77-D77+1</f>
        <v>1</v>
      </c>
      <c r="G77" s="14" t="s">
        <v>135</v>
      </c>
      <c r="H77" s="15"/>
      <c r="I77" s="14"/>
      <c r="J77" s="13" t="n">
        <f aca="false">IF(H77&lt;&gt;"",H77,IF(C77="Slides",F77*Synthèse!$C$3,0))</f>
        <v>0</v>
      </c>
      <c r="K77" s="13" t="n">
        <f aca="false">SUMIFS($J$2:J77,$A$2:A77,A77)</f>
        <v>20</v>
      </c>
      <c r="L77" s="16"/>
    </row>
    <row r="78" customFormat="false" ht="15" hidden="false" customHeight="false" outlineLevel="0" collapsed="false">
      <c r="A78" s="13" t="s">
        <v>30</v>
      </c>
      <c r="B78" s="13" t="n">
        <v>1</v>
      </c>
      <c r="C78" s="13" t="s">
        <v>19</v>
      </c>
      <c r="D78" s="13" t="n">
        <v>2</v>
      </c>
      <c r="E78" s="13" t="n">
        <v>2</v>
      </c>
      <c r="F78" s="13" t="n">
        <f aca="false">E78-D78+1</f>
        <v>1</v>
      </c>
      <c r="G78" s="14" t="s">
        <v>59</v>
      </c>
      <c r="H78" s="15"/>
      <c r="I78" s="14"/>
      <c r="J78" s="13" t="n">
        <f aca="false">IF(H78&lt;&gt;"",H78,IF(C78="Slides",F78*Synthèse!$C$3,0))</f>
        <v>0</v>
      </c>
      <c r="K78" s="13" t="n">
        <f aca="false">SUMIFS($J$2:J78,$A$2:A78,A78)</f>
        <v>0</v>
      </c>
      <c r="L78" s="16"/>
    </row>
    <row r="79" customFormat="false" ht="15" hidden="false" customHeight="false" outlineLevel="0" collapsed="false">
      <c r="A79" s="17" t="s">
        <v>30</v>
      </c>
      <c r="B79" s="17" t="n">
        <v>2</v>
      </c>
      <c r="C79" s="17" t="s">
        <v>56</v>
      </c>
      <c r="D79" s="17" t="n">
        <v>3</v>
      </c>
      <c r="E79" s="17" t="n">
        <v>3</v>
      </c>
      <c r="F79" s="17"/>
      <c r="G79" s="18" t="s">
        <v>136</v>
      </c>
      <c r="H79" s="19"/>
      <c r="I79" s="18"/>
      <c r="J79" s="17" t="n">
        <f aca="false">IF(H79&lt;&gt;"",H79,IF(C79="Slides",F79*Synthèse!$C$3,0))</f>
        <v>0</v>
      </c>
      <c r="K79" s="17" t="n">
        <f aca="false">SUMIFS($J$2:J79,$A$2:A79,A79)</f>
        <v>0</v>
      </c>
      <c r="L79" s="20"/>
    </row>
    <row r="80" customFormat="false" ht="15" hidden="false" customHeight="false" outlineLevel="0" collapsed="false">
      <c r="A80" s="13" t="s">
        <v>30</v>
      </c>
      <c r="B80" s="13" t="n">
        <v>3</v>
      </c>
      <c r="C80" s="13" t="s">
        <v>19</v>
      </c>
      <c r="D80" s="13" t="n">
        <v>4</v>
      </c>
      <c r="E80" s="13" t="n">
        <v>5</v>
      </c>
      <c r="F80" s="13" t="n">
        <f aca="false">E80-D80+1</f>
        <v>2</v>
      </c>
      <c r="G80" s="14" t="s">
        <v>137</v>
      </c>
      <c r="H80" s="15"/>
      <c r="I80" s="14"/>
      <c r="J80" s="13" t="n">
        <f aca="false">IF(H80&lt;&gt;"",H80,IF(C80="Slides",F80*Synthèse!$C$3,0))</f>
        <v>0</v>
      </c>
      <c r="K80" s="13" t="n">
        <f aca="false">SUMIFS($J$2:J80,$A$2:A80,A80)</f>
        <v>0</v>
      </c>
      <c r="L80" s="16"/>
    </row>
    <row r="81" customFormat="false" ht="15" hidden="false" customHeight="false" outlineLevel="0" collapsed="false">
      <c r="A81" s="17" t="s">
        <v>30</v>
      </c>
      <c r="B81" s="17" t="n">
        <v>4</v>
      </c>
      <c r="C81" s="17" t="s">
        <v>56</v>
      </c>
      <c r="D81" s="17" t="n">
        <v>6</v>
      </c>
      <c r="E81" s="17" t="n">
        <v>6</v>
      </c>
      <c r="F81" s="17"/>
      <c r="G81" s="18" t="s">
        <v>138</v>
      </c>
      <c r="H81" s="19"/>
      <c r="I81" s="18"/>
      <c r="J81" s="17" t="n">
        <f aca="false">IF(H81&lt;&gt;"",H81,IF(C81="Slides",F81*Synthèse!$C$3,0))</f>
        <v>0</v>
      </c>
      <c r="K81" s="17" t="n">
        <f aca="false">SUMIFS($J$2:J81,$A$2:A81,A81)</f>
        <v>0</v>
      </c>
      <c r="L81" s="20"/>
    </row>
    <row r="82" customFormat="false" ht="23.85" hidden="false" customHeight="false" outlineLevel="0" collapsed="false">
      <c r="A82" s="13" t="s">
        <v>30</v>
      </c>
      <c r="B82" s="13" t="n">
        <v>5</v>
      </c>
      <c r="C82" s="13" t="s">
        <v>19</v>
      </c>
      <c r="D82" s="13" t="n">
        <v>7</v>
      </c>
      <c r="E82" s="13" t="n">
        <v>9</v>
      </c>
      <c r="F82" s="13" t="n">
        <f aca="false">E82-D82+1</f>
        <v>3</v>
      </c>
      <c r="G82" s="14" t="s">
        <v>139</v>
      </c>
      <c r="H82" s="15"/>
      <c r="I82" s="14"/>
      <c r="J82" s="13" t="n">
        <f aca="false">IF(H82&lt;&gt;"",H82,IF(C82="Slides",F82*Synthèse!$C$3,0))</f>
        <v>0</v>
      </c>
      <c r="K82" s="13" t="n">
        <f aca="false">SUMIFS($J$2:J82,$A$2:A82,A82)</f>
        <v>0</v>
      </c>
      <c r="L82" s="16"/>
    </row>
    <row r="83" customFormat="false" ht="15" hidden="false" customHeight="false" outlineLevel="0" collapsed="false">
      <c r="A83" s="17" t="s">
        <v>30</v>
      </c>
      <c r="B83" s="17" t="n">
        <v>6</v>
      </c>
      <c r="C83" s="17" t="s">
        <v>56</v>
      </c>
      <c r="D83" s="17" t="n">
        <v>10</v>
      </c>
      <c r="E83" s="17" t="n">
        <v>10</v>
      </c>
      <c r="F83" s="17"/>
      <c r="G83" s="18" t="s">
        <v>140</v>
      </c>
      <c r="H83" s="19"/>
      <c r="I83" s="18"/>
      <c r="J83" s="17" t="n">
        <f aca="false">IF(H83&lt;&gt;"",H83,IF(C83="Slides",F83*Synthèse!$C$3,0))</f>
        <v>0</v>
      </c>
      <c r="K83" s="17" t="n">
        <f aca="false">SUMIFS($J$2:J83,$A$2:A83,A83)</f>
        <v>0</v>
      </c>
      <c r="L83" s="20"/>
    </row>
    <row r="84" customFormat="false" ht="15" hidden="false" customHeight="false" outlineLevel="0" collapsed="false">
      <c r="A84" s="21" t="s">
        <v>30</v>
      </c>
      <c r="B84" s="21" t="n">
        <v>7</v>
      </c>
      <c r="C84" s="21" t="s">
        <v>64</v>
      </c>
      <c r="D84" s="21" t="n">
        <v>11</v>
      </c>
      <c r="E84" s="21" t="n">
        <v>11</v>
      </c>
      <c r="F84" s="21"/>
      <c r="G84" s="22" t="s">
        <v>141</v>
      </c>
      <c r="H84" s="15" t="n">
        <v>10</v>
      </c>
      <c r="I84" s="22" t="s">
        <v>76</v>
      </c>
      <c r="J84" s="21" t="n">
        <f aca="false">IF(H84&lt;&gt;"",H84,IF(C84="Slides",F84*Synthèse!$C$3,0))</f>
        <v>10</v>
      </c>
      <c r="K84" s="21" t="n">
        <f aca="false">SUMIFS($J$2:J84,$A$2:A84,A84)</f>
        <v>10</v>
      </c>
      <c r="L84" s="16"/>
    </row>
    <row r="85" customFormat="false" ht="15" hidden="false" customHeight="false" outlineLevel="0" collapsed="false">
      <c r="A85" s="13" t="s">
        <v>30</v>
      </c>
      <c r="B85" s="13" t="n">
        <v>8</v>
      </c>
      <c r="C85" s="13" t="s">
        <v>19</v>
      </c>
      <c r="D85" s="13" t="n">
        <v>12</v>
      </c>
      <c r="E85" s="13" t="n">
        <v>13</v>
      </c>
      <c r="F85" s="13" t="n">
        <f aca="false">E85-D85+1</f>
        <v>2</v>
      </c>
      <c r="G85" s="14" t="s">
        <v>142</v>
      </c>
      <c r="H85" s="15"/>
      <c r="I85" s="14"/>
      <c r="J85" s="13" t="n">
        <f aca="false">IF(H85&lt;&gt;"",H85,IF(C85="Slides",F85*Synthèse!$C$3,0))</f>
        <v>0</v>
      </c>
      <c r="K85" s="13" t="n">
        <f aca="false">SUMIFS($J$2:J85,$A$2:A85,A85)</f>
        <v>10</v>
      </c>
      <c r="L85" s="16"/>
    </row>
    <row r="86" customFormat="false" ht="15" hidden="false" customHeight="false" outlineLevel="0" collapsed="false">
      <c r="A86" s="23" t="s">
        <v>30</v>
      </c>
      <c r="B86" s="23" t="n">
        <v>9</v>
      </c>
      <c r="C86" s="23" t="s">
        <v>68</v>
      </c>
      <c r="D86" s="23" t="n">
        <v>14</v>
      </c>
      <c r="E86" s="23" t="n">
        <v>14</v>
      </c>
      <c r="F86" s="23"/>
      <c r="G86" s="24" t="s">
        <v>143</v>
      </c>
      <c r="H86" s="15"/>
      <c r="I86" s="24"/>
      <c r="J86" s="23" t="n">
        <f aca="false">IF(H86&lt;&gt;"",H86,IF(C86="Slides",F86*Synthèse!$C$3,0))</f>
        <v>0</v>
      </c>
      <c r="K86" s="23" t="n">
        <f aca="false">SUMIFS($J$2:J86,$A$2:A86,A86)</f>
        <v>10</v>
      </c>
      <c r="L86" s="16"/>
    </row>
    <row r="87" customFormat="false" ht="15" hidden="false" customHeight="false" outlineLevel="0" collapsed="false">
      <c r="A87" s="17" t="s">
        <v>30</v>
      </c>
      <c r="B87" s="17" t="n">
        <v>10</v>
      </c>
      <c r="C87" s="17" t="s">
        <v>56</v>
      </c>
      <c r="D87" s="17" t="n">
        <v>15</v>
      </c>
      <c r="E87" s="17" t="n">
        <v>15</v>
      </c>
      <c r="F87" s="17"/>
      <c r="G87" s="18" t="s">
        <v>144</v>
      </c>
      <c r="H87" s="19"/>
      <c r="I87" s="18"/>
      <c r="J87" s="17" t="n">
        <f aca="false">IF(H87&lt;&gt;"",H87,IF(C87="Slides",F87*Synthèse!$C$3,0))</f>
        <v>0</v>
      </c>
      <c r="K87" s="17" t="n">
        <f aca="false">SUMIFS($J$2:J87,$A$2:A87,A87)</f>
        <v>10</v>
      </c>
      <c r="L87" s="20"/>
    </row>
    <row r="88" customFormat="false" ht="23.85" hidden="false" customHeight="false" outlineLevel="0" collapsed="false">
      <c r="A88" s="13" t="s">
        <v>30</v>
      </c>
      <c r="B88" s="13" t="n">
        <v>11</v>
      </c>
      <c r="C88" s="13" t="s">
        <v>19</v>
      </c>
      <c r="D88" s="13" t="n">
        <v>16</v>
      </c>
      <c r="E88" s="13" t="n">
        <v>20</v>
      </c>
      <c r="F88" s="13" t="n">
        <f aca="false">E88-D88+1</f>
        <v>5</v>
      </c>
      <c r="G88" s="14" t="s">
        <v>145</v>
      </c>
      <c r="H88" s="15"/>
      <c r="I88" s="14"/>
      <c r="J88" s="13" t="n">
        <f aca="false">IF(H88&lt;&gt;"",H88,IF(C88="Slides",F88*Synthèse!$C$3,0))</f>
        <v>0</v>
      </c>
      <c r="K88" s="13" t="n">
        <f aca="false">SUMIFS($J$2:J88,$A$2:A88,A88)</f>
        <v>10</v>
      </c>
      <c r="L88" s="16"/>
    </row>
    <row r="89" customFormat="false" ht="15" hidden="false" customHeight="false" outlineLevel="0" collapsed="false">
      <c r="A89" s="23" t="s">
        <v>30</v>
      </c>
      <c r="B89" s="23" t="n">
        <v>12</v>
      </c>
      <c r="C89" s="23" t="s">
        <v>68</v>
      </c>
      <c r="D89" s="23" t="n">
        <v>21</v>
      </c>
      <c r="E89" s="23" t="n">
        <v>21</v>
      </c>
      <c r="F89" s="23"/>
      <c r="G89" s="24" t="s">
        <v>146</v>
      </c>
      <c r="H89" s="15"/>
      <c r="I89" s="24"/>
      <c r="J89" s="23" t="n">
        <f aca="false">IF(H89&lt;&gt;"",H89,IF(C89="Slides",F89*Synthèse!$C$3,0))</f>
        <v>0</v>
      </c>
      <c r="K89" s="23" t="n">
        <f aca="false">SUMIFS($J$2:J89,$A$2:A89,A89)</f>
        <v>10</v>
      </c>
      <c r="L89" s="16"/>
    </row>
    <row r="90" customFormat="false" ht="15" hidden="false" customHeight="false" outlineLevel="0" collapsed="false">
      <c r="A90" s="17" t="s">
        <v>30</v>
      </c>
      <c r="B90" s="17" t="n">
        <v>13</v>
      </c>
      <c r="C90" s="17" t="s">
        <v>56</v>
      </c>
      <c r="D90" s="17" t="n">
        <v>22</v>
      </c>
      <c r="E90" s="17" t="n">
        <v>22</v>
      </c>
      <c r="F90" s="17"/>
      <c r="G90" s="18" t="s">
        <v>147</v>
      </c>
      <c r="H90" s="19"/>
      <c r="I90" s="18"/>
      <c r="J90" s="17" t="n">
        <f aca="false">IF(H90&lt;&gt;"",H90,IF(C90="Slides",F90*Synthèse!$C$3,0))</f>
        <v>0</v>
      </c>
      <c r="K90" s="17" t="n">
        <f aca="false">SUMIFS($J$2:J90,$A$2:A90,A90)</f>
        <v>10</v>
      </c>
      <c r="L90" s="20"/>
    </row>
    <row r="91" customFormat="false" ht="23.85" hidden="false" customHeight="false" outlineLevel="0" collapsed="false">
      <c r="A91" s="13" t="s">
        <v>30</v>
      </c>
      <c r="B91" s="13" t="n">
        <v>14</v>
      </c>
      <c r="C91" s="13" t="s">
        <v>19</v>
      </c>
      <c r="D91" s="13" t="n">
        <v>23</v>
      </c>
      <c r="E91" s="13" t="n">
        <v>27</v>
      </c>
      <c r="F91" s="13" t="n">
        <f aca="false">E91-D91+1</f>
        <v>5</v>
      </c>
      <c r="G91" s="14" t="s">
        <v>148</v>
      </c>
      <c r="H91" s="15"/>
      <c r="I91" s="14"/>
      <c r="J91" s="13" t="n">
        <f aca="false">IF(H91&lt;&gt;"",H91,IF(C91="Slides",F91*Synthèse!$C$3,0))</f>
        <v>0</v>
      </c>
      <c r="K91" s="13" t="n">
        <f aca="false">SUMIFS($J$2:J91,$A$2:A91,A91)</f>
        <v>10</v>
      </c>
      <c r="L91" s="16"/>
    </row>
    <row r="92" customFormat="false" ht="15" hidden="false" customHeight="false" outlineLevel="0" collapsed="false">
      <c r="A92" s="17" t="s">
        <v>30</v>
      </c>
      <c r="B92" s="17" t="n">
        <v>15</v>
      </c>
      <c r="C92" s="17" t="s">
        <v>56</v>
      </c>
      <c r="D92" s="17" t="n">
        <v>28</v>
      </c>
      <c r="E92" s="17" t="n">
        <v>28</v>
      </c>
      <c r="F92" s="17"/>
      <c r="G92" s="18" t="s">
        <v>149</v>
      </c>
      <c r="H92" s="19"/>
      <c r="I92" s="18"/>
      <c r="J92" s="17" t="n">
        <f aca="false">IF(H92&lt;&gt;"",H92,IF(C92="Slides",F92*Synthèse!$C$3,0))</f>
        <v>0</v>
      </c>
      <c r="K92" s="17" t="n">
        <f aca="false">SUMIFS($J$2:J92,$A$2:A92,A92)</f>
        <v>10</v>
      </c>
      <c r="L92" s="20"/>
    </row>
    <row r="93" customFormat="false" ht="15" hidden="false" customHeight="false" outlineLevel="0" collapsed="false">
      <c r="A93" s="13" t="s">
        <v>30</v>
      </c>
      <c r="B93" s="13" t="n">
        <v>16</v>
      </c>
      <c r="C93" s="13" t="s">
        <v>19</v>
      </c>
      <c r="D93" s="13" t="n">
        <v>29</v>
      </c>
      <c r="E93" s="13" t="n">
        <v>30</v>
      </c>
      <c r="F93" s="13" t="n">
        <f aca="false">E93-D93+1</f>
        <v>2</v>
      </c>
      <c r="G93" s="14" t="s">
        <v>150</v>
      </c>
      <c r="H93" s="15"/>
      <c r="I93" s="14"/>
      <c r="J93" s="13" t="n">
        <f aca="false">IF(H93&lt;&gt;"",H93,IF(C93="Slides",F93*Synthèse!$C$3,0))</f>
        <v>0</v>
      </c>
      <c r="K93" s="13" t="n">
        <f aca="false">SUMIFS($J$2:J93,$A$2:A93,A93)</f>
        <v>10</v>
      </c>
      <c r="L93" s="16"/>
    </row>
    <row r="94" customFormat="false" ht="15" hidden="false" customHeight="false" outlineLevel="0" collapsed="false">
      <c r="A94" s="23" t="s">
        <v>30</v>
      </c>
      <c r="B94" s="23" t="n">
        <v>17</v>
      </c>
      <c r="C94" s="23" t="s">
        <v>68</v>
      </c>
      <c r="D94" s="23" t="n">
        <v>31</v>
      </c>
      <c r="E94" s="23" t="n">
        <v>31</v>
      </c>
      <c r="F94" s="23"/>
      <c r="G94" s="24" t="s">
        <v>151</v>
      </c>
      <c r="H94" s="15"/>
      <c r="I94" s="24"/>
      <c r="J94" s="23" t="n">
        <f aca="false">IF(H94&lt;&gt;"",H94,IF(C94="Slides",F94*Synthèse!$C$3,0))</f>
        <v>0</v>
      </c>
      <c r="K94" s="23" t="n">
        <f aca="false">SUMIFS($J$2:J94,$A$2:A94,A94)</f>
        <v>10</v>
      </c>
      <c r="L94" s="16"/>
    </row>
    <row r="95" customFormat="false" ht="15" hidden="false" customHeight="false" outlineLevel="0" collapsed="false">
      <c r="A95" s="17" t="s">
        <v>30</v>
      </c>
      <c r="B95" s="17" t="n">
        <v>18</v>
      </c>
      <c r="C95" s="17" t="s">
        <v>56</v>
      </c>
      <c r="D95" s="17" t="n">
        <v>32</v>
      </c>
      <c r="E95" s="17" t="n">
        <v>32</v>
      </c>
      <c r="F95" s="17"/>
      <c r="G95" s="18" t="s">
        <v>152</v>
      </c>
      <c r="H95" s="19"/>
      <c r="I95" s="18"/>
      <c r="J95" s="17" t="n">
        <f aca="false">IF(H95&lt;&gt;"",H95,IF(C95="Slides",F95*Synthèse!$C$3,0))</f>
        <v>0</v>
      </c>
      <c r="K95" s="17" t="n">
        <f aca="false">SUMIFS($J$2:J95,$A$2:A95,A95)</f>
        <v>10</v>
      </c>
      <c r="L95" s="20"/>
    </row>
    <row r="96" customFormat="false" ht="23.85" hidden="false" customHeight="false" outlineLevel="0" collapsed="false">
      <c r="A96" s="13" t="s">
        <v>30</v>
      </c>
      <c r="B96" s="13" t="n">
        <v>19</v>
      </c>
      <c r="C96" s="13" t="s">
        <v>19</v>
      </c>
      <c r="D96" s="13" t="n">
        <v>33</v>
      </c>
      <c r="E96" s="13" t="n">
        <v>38</v>
      </c>
      <c r="F96" s="13" t="n">
        <f aca="false">E96-D96+1</f>
        <v>6</v>
      </c>
      <c r="G96" s="14" t="s">
        <v>153</v>
      </c>
      <c r="H96" s="15"/>
      <c r="I96" s="14"/>
      <c r="J96" s="13" t="n">
        <f aca="false">IF(H96&lt;&gt;"",H96,IF(C96="Slides",F96*Synthèse!$C$3,0))</f>
        <v>0</v>
      </c>
      <c r="K96" s="13" t="n">
        <f aca="false">SUMIFS($J$2:J96,$A$2:A96,A96)</f>
        <v>10</v>
      </c>
      <c r="L96" s="16"/>
    </row>
    <row r="97" customFormat="false" ht="15" hidden="false" customHeight="false" outlineLevel="0" collapsed="false">
      <c r="A97" s="23" t="s">
        <v>30</v>
      </c>
      <c r="B97" s="23" t="n">
        <v>20</v>
      </c>
      <c r="C97" s="23" t="s">
        <v>68</v>
      </c>
      <c r="D97" s="23" t="n">
        <v>39</v>
      </c>
      <c r="E97" s="23" t="n">
        <v>39</v>
      </c>
      <c r="F97" s="23"/>
      <c r="G97" s="24" t="s">
        <v>154</v>
      </c>
      <c r="H97" s="15"/>
      <c r="I97" s="24"/>
      <c r="J97" s="23" t="n">
        <f aca="false">IF(H97&lt;&gt;"",H97,IF(C97="Slides",F97*Synthèse!$C$3,0))</f>
        <v>0</v>
      </c>
      <c r="K97" s="23" t="n">
        <f aca="false">SUMIFS($J$2:J97,$A$2:A97,A97)</f>
        <v>10</v>
      </c>
      <c r="L97" s="16"/>
    </row>
    <row r="98" customFormat="false" ht="15" hidden="false" customHeight="false" outlineLevel="0" collapsed="false">
      <c r="A98" s="13" t="s">
        <v>30</v>
      </c>
      <c r="B98" s="13" t="n">
        <v>21</v>
      </c>
      <c r="C98" s="13" t="s">
        <v>19</v>
      </c>
      <c r="D98" s="13" t="n">
        <v>40</v>
      </c>
      <c r="E98" s="13" t="n">
        <v>40</v>
      </c>
      <c r="F98" s="13" t="n">
        <f aca="false">E98-D98+1</f>
        <v>1</v>
      </c>
      <c r="G98" s="14" t="s">
        <v>155</v>
      </c>
      <c r="H98" s="15"/>
      <c r="I98" s="14"/>
      <c r="J98" s="13" t="n">
        <f aca="false">IF(H98&lt;&gt;"",H98,IF(C98="Slides",F98*Synthèse!$C$3,0))</f>
        <v>0</v>
      </c>
      <c r="K98" s="13" t="n">
        <f aca="false">SUMIFS($J$2:J98,$A$2:A98,A98)</f>
        <v>10</v>
      </c>
      <c r="L98" s="16"/>
    </row>
    <row r="99" customFormat="false" ht="15" hidden="false" customHeight="false" outlineLevel="0" collapsed="false">
      <c r="A99" s="13" t="s">
        <v>31</v>
      </c>
      <c r="B99" s="13" t="n">
        <v>1</v>
      </c>
      <c r="C99" s="13" t="s">
        <v>19</v>
      </c>
      <c r="D99" s="13" t="n">
        <v>2</v>
      </c>
      <c r="E99" s="13" t="n">
        <v>2</v>
      </c>
      <c r="F99" s="13" t="n">
        <f aca="false">E99-D99+1</f>
        <v>1</v>
      </c>
      <c r="G99" s="14" t="s">
        <v>59</v>
      </c>
      <c r="H99" s="15"/>
      <c r="I99" s="14"/>
      <c r="J99" s="13" t="n">
        <f aca="false">IF(H99&lt;&gt;"",H99,IF(C99="Slides",F99*Synthèse!$C$3,0))</f>
        <v>0</v>
      </c>
      <c r="K99" s="13" t="n">
        <f aca="false">SUMIFS($J$2:J99,$A$2:A99,A99)</f>
        <v>0</v>
      </c>
      <c r="L99" s="16"/>
    </row>
    <row r="100" customFormat="false" ht="15" hidden="false" customHeight="false" outlineLevel="0" collapsed="false">
      <c r="A100" s="17" t="s">
        <v>31</v>
      </c>
      <c r="B100" s="17" t="n">
        <v>2</v>
      </c>
      <c r="C100" s="17" t="s">
        <v>56</v>
      </c>
      <c r="D100" s="17" t="n">
        <v>3</v>
      </c>
      <c r="E100" s="17" t="n">
        <v>3</v>
      </c>
      <c r="F100" s="17"/>
      <c r="G100" s="18" t="s">
        <v>156</v>
      </c>
      <c r="H100" s="19"/>
      <c r="I100" s="18"/>
      <c r="J100" s="17" t="n">
        <f aca="false">IF(H100&lt;&gt;"",H100,IF(C100="Slides",F100*Synthèse!$C$3,0))</f>
        <v>0</v>
      </c>
      <c r="K100" s="17" t="n">
        <f aca="false">SUMIFS($J$2:J100,$A$2:A100,A100)</f>
        <v>0</v>
      </c>
      <c r="L100" s="20"/>
    </row>
    <row r="101" customFormat="false" ht="35.05" hidden="false" customHeight="false" outlineLevel="0" collapsed="false">
      <c r="A101" s="13" t="s">
        <v>31</v>
      </c>
      <c r="B101" s="13" t="n">
        <v>3</v>
      </c>
      <c r="C101" s="13" t="s">
        <v>19</v>
      </c>
      <c r="D101" s="13" t="n">
        <v>4</v>
      </c>
      <c r="E101" s="13" t="n">
        <v>9</v>
      </c>
      <c r="F101" s="13" t="n">
        <f aca="false">E101-D101+1</f>
        <v>6</v>
      </c>
      <c r="G101" s="14" t="s">
        <v>157</v>
      </c>
      <c r="H101" s="15"/>
      <c r="I101" s="14"/>
      <c r="J101" s="13" t="n">
        <f aca="false">IF(H101&lt;&gt;"",H101,IF(C101="Slides",F101*Synthèse!$C$3,0))</f>
        <v>0</v>
      </c>
      <c r="K101" s="13" t="n">
        <f aca="false">SUMIFS($J$2:J101,$A$2:A101,A101)</f>
        <v>0</v>
      </c>
      <c r="L101" s="16"/>
    </row>
    <row r="102" customFormat="false" ht="15" hidden="false" customHeight="false" outlineLevel="0" collapsed="false">
      <c r="A102" s="17" t="s">
        <v>31</v>
      </c>
      <c r="B102" s="17" t="n">
        <v>4</v>
      </c>
      <c r="C102" s="17" t="s">
        <v>56</v>
      </c>
      <c r="D102" s="17" t="n">
        <v>10</v>
      </c>
      <c r="E102" s="17" t="n">
        <v>10</v>
      </c>
      <c r="F102" s="17"/>
      <c r="G102" s="18" t="s">
        <v>158</v>
      </c>
      <c r="H102" s="19"/>
      <c r="I102" s="18"/>
      <c r="J102" s="17" t="n">
        <f aca="false">IF(H102&lt;&gt;"",H102,IF(C102="Slides",F102*Synthèse!$C$3,0))</f>
        <v>0</v>
      </c>
      <c r="K102" s="17" t="n">
        <f aca="false">SUMIFS($J$2:J102,$A$2:A102,A102)</f>
        <v>0</v>
      </c>
      <c r="L102" s="20"/>
    </row>
    <row r="103" customFormat="false" ht="23.85" hidden="false" customHeight="false" outlineLevel="0" collapsed="false">
      <c r="A103" s="13" t="s">
        <v>31</v>
      </c>
      <c r="B103" s="13" t="n">
        <v>5</v>
      </c>
      <c r="C103" s="13" t="s">
        <v>19</v>
      </c>
      <c r="D103" s="13" t="n">
        <v>11</v>
      </c>
      <c r="E103" s="13" t="n">
        <v>13</v>
      </c>
      <c r="F103" s="13" t="n">
        <f aca="false">E103-D103+1</f>
        <v>3</v>
      </c>
      <c r="G103" s="14" t="s">
        <v>159</v>
      </c>
      <c r="H103" s="15"/>
      <c r="I103" s="14"/>
      <c r="J103" s="13" t="n">
        <f aca="false">IF(H103&lt;&gt;"",H103,IF(C103="Slides",F103*Synthèse!$C$3,0))</f>
        <v>0</v>
      </c>
      <c r="K103" s="13" t="n">
        <f aca="false">SUMIFS($J$2:J103,$A$2:A103,A103)</f>
        <v>0</v>
      </c>
      <c r="L103" s="16"/>
    </row>
    <row r="104" customFormat="false" ht="15" hidden="false" customHeight="false" outlineLevel="0" collapsed="false">
      <c r="A104" s="21" t="s">
        <v>31</v>
      </c>
      <c r="B104" s="21" t="n">
        <v>6</v>
      </c>
      <c r="C104" s="21" t="s">
        <v>64</v>
      </c>
      <c r="D104" s="21" t="n">
        <v>14</v>
      </c>
      <c r="E104" s="21" t="n">
        <v>14</v>
      </c>
      <c r="F104" s="21"/>
      <c r="G104" s="22" t="s">
        <v>160</v>
      </c>
      <c r="H104" s="15" t="n">
        <v>12</v>
      </c>
      <c r="I104" s="22" t="s">
        <v>93</v>
      </c>
      <c r="J104" s="21" t="n">
        <f aca="false">IF(H104&lt;&gt;"",H104,IF(C104="Slides",F104*Synthèse!$C$3,0))</f>
        <v>12</v>
      </c>
      <c r="K104" s="21" t="n">
        <f aca="false">SUMIFS($J$2:J104,$A$2:A104,A104)</f>
        <v>12</v>
      </c>
      <c r="L104" s="16"/>
    </row>
    <row r="105" customFormat="false" ht="15" hidden="false" customHeight="false" outlineLevel="0" collapsed="false">
      <c r="A105" s="13" t="s">
        <v>31</v>
      </c>
      <c r="B105" s="13" t="n">
        <v>7</v>
      </c>
      <c r="C105" s="13" t="s">
        <v>19</v>
      </c>
      <c r="D105" s="13" t="n">
        <v>15</v>
      </c>
      <c r="E105" s="13" t="n">
        <v>15</v>
      </c>
      <c r="F105" s="13" t="n">
        <f aca="false">E105-D105+1</f>
        <v>1</v>
      </c>
      <c r="G105" s="14" t="s">
        <v>161</v>
      </c>
      <c r="H105" s="15"/>
      <c r="I105" s="14"/>
      <c r="J105" s="13" t="n">
        <f aca="false">IF(H105&lt;&gt;"",H105,IF(C105="Slides",F105*Synthèse!$C$3,0))</f>
        <v>0</v>
      </c>
      <c r="K105" s="13" t="n">
        <f aca="false">SUMIFS($J$2:J105,$A$2:A105,A105)</f>
        <v>12</v>
      </c>
      <c r="L105" s="16"/>
    </row>
    <row r="106" customFormat="false" ht="15" hidden="false" customHeight="false" outlineLevel="0" collapsed="false">
      <c r="A106" s="17" t="s">
        <v>31</v>
      </c>
      <c r="B106" s="17" t="n">
        <v>8</v>
      </c>
      <c r="C106" s="17" t="s">
        <v>56</v>
      </c>
      <c r="D106" s="17" t="n">
        <v>16</v>
      </c>
      <c r="E106" s="17" t="n">
        <v>16</v>
      </c>
      <c r="F106" s="17"/>
      <c r="G106" s="18" t="s">
        <v>162</v>
      </c>
      <c r="H106" s="19"/>
      <c r="I106" s="18"/>
      <c r="J106" s="17" t="n">
        <f aca="false">IF(H106&lt;&gt;"",H106,IF(C106="Slides",F106*Synthèse!$C$3,0))</f>
        <v>0</v>
      </c>
      <c r="K106" s="17" t="n">
        <f aca="false">SUMIFS($J$2:J106,$A$2:A106,A106)</f>
        <v>12</v>
      </c>
      <c r="L106" s="20"/>
    </row>
    <row r="107" customFormat="false" ht="23.85" hidden="false" customHeight="false" outlineLevel="0" collapsed="false">
      <c r="A107" s="13" t="s">
        <v>31</v>
      </c>
      <c r="B107" s="13" t="n">
        <v>9</v>
      </c>
      <c r="C107" s="13" t="s">
        <v>19</v>
      </c>
      <c r="D107" s="13" t="n">
        <v>17</v>
      </c>
      <c r="E107" s="13" t="n">
        <v>19</v>
      </c>
      <c r="F107" s="13" t="n">
        <f aca="false">E107-D107+1</f>
        <v>3</v>
      </c>
      <c r="G107" s="14" t="s">
        <v>163</v>
      </c>
      <c r="H107" s="15"/>
      <c r="I107" s="14"/>
      <c r="J107" s="13" t="n">
        <f aca="false">IF(H107&lt;&gt;"",H107,IF(C107="Slides",F107*Synthèse!$C$3,0))</f>
        <v>0</v>
      </c>
      <c r="K107" s="13" t="n">
        <f aca="false">SUMIFS($J$2:J107,$A$2:A107,A107)</f>
        <v>12</v>
      </c>
      <c r="L107" s="16"/>
    </row>
    <row r="108" customFormat="false" ht="15" hidden="false" customHeight="false" outlineLevel="0" collapsed="false">
      <c r="A108" s="17" t="s">
        <v>31</v>
      </c>
      <c r="B108" s="17" t="n">
        <v>10</v>
      </c>
      <c r="C108" s="17" t="s">
        <v>56</v>
      </c>
      <c r="D108" s="17" t="n">
        <v>20</v>
      </c>
      <c r="E108" s="17" t="n">
        <v>20</v>
      </c>
      <c r="F108" s="17"/>
      <c r="G108" s="18" t="s">
        <v>164</v>
      </c>
      <c r="H108" s="19"/>
      <c r="I108" s="18"/>
      <c r="J108" s="17" t="n">
        <f aca="false">IF(H108&lt;&gt;"",H108,IF(C108="Slides",F108*Synthèse!$C$3,0))</f>
        <v>0</v>
      </c>
      <c r="K108" s="17" t="n">
        <f aca="false">SUMIFS($J$2:J108,$A$2:A108,A108)</f>
        <v>12</v>
      </c>
      <c r="L108" s="20"/>
    </row>
    <row r="109" customFormat="false" ht="35.05" hidden="false" customHeight="false" outlineLevel="0" collapsed="false">
      <c r="A109" s="13" t="s">
        <v>31</v>
      </c>
      <c r="B109" s="13" t="n">
        <v>11</v>
      </c>
      <c r="C109" s="13" t="s">
        <v>19</v>
      </c>
      <c r="D109" s="13" t="n">
        <v>21</v>
      </c>
      <c r="E109" s="13" t="n">
        <v>25</v>
      </c>
      <c r="F109" s="13" t="n">
        <f aca="false">E109-D109+1</f>
        <v>5</v>
      </c>
      <c r="G109" s="14" t="s">
        <v>165</v>
      </c>
      <c r="H109" s="15"/>
      <c r="I109" s="14"/>
      <c r="J109" s="13" t="n">
        <f aca="false">IF(H109&lt;&gt;"",H109,IF(C109="Slides",F109*Synthèse!$C$3,0))</f>
        <v>0</v>
      </c>
      <c r="K109" s="13" t="n">
        <f aca="false">SUMIFS($J$2:J109,$A$2:A109,A109)</f>
        <v>12</v>
      </c>
      <c r="L109" s="16"/>
    </row>
    <row r="110" customFormat="false" ht="15" hidden="false" customHeight="false" outlineLevel="0" collapsed="false">
      <c r="A110" s="23" t="s">
        <v>31</v>
      </c>
      <c r="B110" s="23" t="n">
        <v>12</v>
      </c>
      <c r="C110" s="23" t="s">
        <v>68</v>
      </c>
      <c r="D110" s="23" t="n">
        <v>26</v>
      </c>
      <c r="E110" s="23" t="n">
        <v>26</v>
      </c>
      <c r="F110" s="23"/>
      <c r="G110" s="24" t="s">
        <v>166</v>
      </c>
      <c r="H110" s="15"/>
      <c r="I110" s="24"/>
      <c r="J110" s="23" t="n">
        <f aca="false">IF(H110&lt;&gt;"",H110,IF(C110="Slides",F110*Synthèse!$C$3,0))</f>
        <v>0</v>
      </c>
      <c r="K110" s="23" t="n">
        <f aca="false">SUMIFS($J$2:J110,$A$2:A110,A110)</f>
        <v>12</v>
      </c>
      <c r="L110" s="16"/>
    </row>
    <row r="111" customFormat="false" ht="15" hidden="false" customHeight="false" outlineLevel="0" collapsed="false">
      <c r="A111" s="17" t="s">
        <v>31</v>
      </c>
      <c r="B111" s="17" t="n">
        <v>13</v>
      </c>
      <c r="C111" s="17" t="s">
        <v>56</v>
      </c>
      <c r="D111" s="17" t="n">
        <v>27</v>
      </c>
      <c r="E111" s="17" t="n">
        <v>27</v>
      </c>
      <c r="F111" s="17"/>
      <c r="G111" s="18" t="s">
        <v>167</v>
      </c>
      <c r="H111" s="19"/>
      <c r="I111" s="18"/>
      <c r="J111" s="17" t="n">
        <f aca="false">IF(H111&lt;&gt;"",H111,IF(C111="Slides",F111*Synthèse!$C$3,0))</f>
        <v>0</v>
      </c>
      <c r="K111" s="17" t="n">
        <f aca="false">SUMIFS($J$2:J111,$A$2:A111,A111)</f>
        <v>12</v>
      </c>
      <c r="L111" s="20"/>
    </row>
    <row r="112" customFormat="false" ht="15" hidden="false" customHeight="false" outlineLevel="0" collapsed="false">
      <c r="A112" s="13" t="s">
        <v>31</v>
      </c>
      <c r="B112" s="13" t="n">
        <v>14</v>
      </c>
      <c r="C112" s="13" t="s">
        <v>19</v>
      </c>
      <c r="D112" s="13" t="n">
        <v>28</v>
      </c>
      <c r="E112" s="13" t="n">
        <v>30</v>
      </c>
      <c r="F112" s="13" t="n">
        <f aca="false">E112-D112+1</f>
        <v>3</v>
      </c>
      <c r="G112" s="14" t="s">
        <v>168</v>
      </c>
      <c r="H112" s="15"/>
      <c r="I112" s="14"/>
      <c r="J112" s="13" t="n">
        <f aca="false">IF(H112&lt;&gt;"",H112,IF(C112="Slides",F112*Synthèse!$C$3,0))</f>
        <v>0</v>
      </c>
      <c r="K112" s="13" t="n">
        <f aca="false">SUMIFS($J$2:J112,$A$2:A112,A112)</f>
        <v>12</v>
      </c>
      <c r="L112" s="16"/>
    </row>
    <row r="113" customFormat="false" ht="15" hidden="false" customHeight="false" outlineLevel="0" collapsed="false">
      <c r="A113" s="23" t="s">
        <v>31</v>
      </c>
      <c r="B113" s="23" t="n">
        <v>15</v>
      </c>
      <c r="C113" s="23" t="s">
        <v>68</v>
      </c>
      <c r="D113" s="23" t="n">
        <v>31</v>
      </c>
      <c r="E113" s="23" t="n">
        <v>31</v>
      </c>
      <c r="F113" s="23"/>
      <c r="G113" s="24" t="s">
        <v>169</v>
      </c>
      <c r="H113" s="15"/>
      <c r="I113" s="24"/>
      <c r="J113" s="23" t="n">
        <f aca="false">IF(H113&lt;&gt;"",H113,IF(C113="Slides",F113*Synthèse!$C$3,0))</f>
        <v>0</v>
      </c>
      <c r="K113" s="23" t="n">
        <f aca="false">SUMIFS($J$2:J113,$A$2:A113,A113)</f>
        <v>12</v>
      </c>
      <c r="L113" s="16"/>
    </row>
    <row r="114" customFormat="false" ht="15" hidden="false" customHeight="false" outlineLevel="0" collapsed="false">
      <c r="A114" s="17" t="s">
        <v>31</v>
      </c>
      <c r="B114" s="17" t="n">
        <v>16</v>
      </c>
      <c r="C114" s="17" t="s">
        <v>56</v>
      </c>
      <c r="D114" s="17" t="n">
        <v>32</v>
      </c>
      <c r="E114" s="17" t="n">
        <v>32</v>
      </c>
      <c r="F114" s="17"/>
      <c r="G114" s="18" t="s">
        <v>170</v>
      </c>
      <c r="H114" s="19"/>
      <c r="I114" s="18"/>
      <c r="J114" s="17" t="n">
        <f aca="false">IF(H114&lt;&gt;"",H114,IF(C114="Slides",F114*Synthèse!$C$3,0))</f>
        <v>0</v>
      </c>
      <c r="K114" s="17" t="n">
        <f aca="false">SUMIFS($J$2:J114,$A$2:A114,A114)</f>
        <v>12</v>
      </c>
      <c r="L114" s="20"/>
    </row>
    <row r="115" customFormat="false" ht="23.85" hidden="false" customHeight="false" outlineLevel="0" collapsed="false">
      <c r="A115" s="13" t="s">
        <v>31</v>
      </c>
      <c r="B115" s="13" t="n">
        <v>17</v>
      </c>
      <c r="C115" s="13" t="s">
        <v>19</v>
      </c>
      <c r="D115" s="13" t="n">
        <v>33</v>
      </c>
      <c r="E115" s="13" t="n">
        <v>37</v>
      </c>
      <c r="F115" s="13" t="n">
        <f aca="false">E115-D115+1</f>
        <v>5</v>
      </c>
      <c r="G115" s="14" t="s">
        <v>171</v>
      </c>
      <c r="H115" s="15"/>
      <c r="I115" s="14"/>
      <c r="J115" s="13" t="n">
        <f aca="false">IF(H115&lt;&gt;"",H115,IF(C115="Slides",F115*Synthèse!$C$3,0))</f>
        <v>0</v>
      </c>
      <c r="K115" s="13" t="n">
        <f aca="false">SUMIFS($J$2:J115,$A$2:A115,A115)</f>
        <v>12</v>
      </c>
      <c r="L115" s="16"/>
    </row>
    <row r="116" customFormat="false" ht="15" hidden="false" customHeight="false" outlineLevel="0" collapsed="false">
      <c r="A116" s="23" t="s">
        <v>31</v>
      </c>
      <c r="B116" s="23" t="n">
        <v>18</v>
      </c>
      <c r="C116" s="23" t="s">
        <v>68</v>
      </c>
      <c r="D116" s="23" t="n">
        <v>38</v>
      </c>
      <c r="E116" s="23" t="n">
        <v>38</v>
      </c>
      <c r="F116" s="23"/>
      <c r="G116" s="24" t="s">
        <v>172</v>
      </c>
      <c r="H116" s="15"/>
      <c r="I116" s="24"/>
      <c r="J116" s="23" t="n">
        <f aca="false">IF(H116&lt;&gt;"",H116,IF(C116="Slides",F116*Synthèse!$C$3,0))</f>
        <v>0</v>
      </c>
      <c r="K116" s="23" t="n">
        <f aca="false">SUMIFS($J$2:J116,$A$2:A116,A116)</f>
        <v>12</v>
      </c>
      <c r="L116" s="16"/>
    </row>
    <row r="117" customFormat="false" ht="15" hidden="false" customHeight="false" outlineLevel="0" collapsed="false">
      <c r="A117" s="17" t="s">
        <v>31</v>
      </c>
      <c r="B117" s="17" t="n">
        <v>19</v>
      </c>
      <c r="C117" s="17" t="s">
        <v>56</v>
      </c>
      <c r="D117" s="17" t="n">
        <v>39</v>
      </c>
      <c r="E117" s="17" t="n">
        <v>39</v>
      </c>
      <c r="F117" s="17"/>
      <c r="G117" s="18" t="s">
        <v>173</v>
      </c>
      <c r="H117" s="19"/>
      <c r="I117" s="18"/>
      <c r="J117" s="17" t="n">
        <f aca="false">IF(H117&lt;&gt;"",H117,IF(C117="Slides",F117*Synthèse!$C$3,0))</f>
        <v>0</v>
      </c>
      <c r="K117" s="17" t="n">
        <f aca="false">SUMIFS($J$2:J117,$A$2:A117,A117)</f>
        <v>12</v>
      </c>
      <c r="L117" s="20"/>
    </row>
    <row r="118" customFormat="false" ht="23.85" hidden="false" customHeight="false" outlineLevel="0" collapsed="false">
      <c r="A118" s="13" t="s">
        <v>31</v>
      </c>
      <c r="B118" s="13" t="n">
        <v>20</v>
      </c>
      <c r="C118" s="13" t="s">
        <v>19</v>
      </c>
      <c r="D118" s="13" t="n">
        <v>40</v>
      </c>
      <c r="E118" s="13" t="n">
        <v>42</v>
      </c>
      <c r="F118" s="13" t="n">
        <f aca="false">E118-D118+1</f>
        <v>3</v>
      </c>
      <c r="G118" s="14" t="s">
        <v>174</v>
      </c>
      <c r="H118" s="15"/>
      <c r="I118" s="14"/>
      <c r="J118" s="13" t="n">
        <f aca="false">IF(H118&lt;&gt;"",H118,IF(C118="Slides",F118*Synthèse!$C$3,0))</f>
        <v>0</v>
      </c>
      <c r="K118" s="13" t="n">
        <f aca="false">SUMIFS($J$2:J118,$A$2:A118,A118)</f>
        <v>12</v>
      </c>
      <c r="L118" s="16"/>
    </row>
    <row r="119" customFormat="false" ht="15" hidden="false" customHeight="false" outlineLevel="0" collapsed="false">
      <c r="A119" s="23" t="s">
        <v>31</v>
      </c>
      <c r="B119" s="23" t="n">
        <v>21</v>
      </c>
      <c r="C119" s="23" t="s">
        <v>68</v>
      </c>
      <c r="D119" s="23" t="n">
        <v>43</v>
      </c>
      <c r="E119" s="23" t="n">
        <v>43</v>
      </c>
      <c r="F119" s="23"/>
      <c r="G119" s="24" t="s">
        <v>175</v>
      </c>
      <c r="H119" s="15"/>
      <c r="I119" s="24"/>
      <c r="J119" s="23" t="n">
        <f aca="false">IF(H119&lt;&gt;"",H119,IF(C119="Slides",F119*Synthèse!$C$3,0))</f>
        <v>0</v>
      </c>
      <c r="K119" s="23" t="n">
        <f aca="false">SUMIFS($J$2:J119,$A$2:A119,A119)</f>
        <v>12</v>
      </c>
      <c r="L119" s="16"/>
    </row>
    <row r="120" customFormat="false" ht="15" hidden="false" customHeight="false" outlineLevel="0" collapsed="false">
      <c r="A120" s="17" t="s">
        <v>31</v>
      </c>
      <c r="B120" s="17" t="n">
        <v>22</v>
      </c>
      <c r="C120" s="17" t="s">
        <v>56</v>
      </c>
      <c r="D120" s="17" t="n">
        <v>44</v>
      </c>
      <c r="E120" s="17" t="n">
        <v>44</v>
      </c>
      <c r="F120" s="17"/>
      <c r="G120" s="18" t="s">
        <v>176</v>
      </c>
      <c r="H120" s="19"/>
      <c r="I120" s="18"/>
      <c r="J120" s="17" t="n">
        <f aca="false">IF(H120&lt;&gt;"",H120,IF(C120="Slides",F120*Synthèse!$C$3,0))</f>
        <v>0</v>
      </c>
      <c r="K120" s="17" t="n">
        <f aca="false">SUMIFS($J$2:J120,$A$2:A120,A120)</f>
        <v>12</v>
      </c>
      <c r="L120" s="20"/>
    </row>
    <row r="121" customFormat="false" ht="15" hidden="false" customHeight="false" outlineLevel="0" collapsed="false">
      <c r="A121" s="13" t="s">
        <v>31</v>
      </c>
      <c r="B121" s="13" t="n">
        <v>23</v>
      </c>
      <c r="C121" s="13" t="s">
        <v>19</v>
      </c>
      <c r="D121" s="13" t="n">
        <v>45</v>
      </c>
      <c r="E121" s="13" t="n">
        <v>45</v>
      </c>
      <c r="F121" s="13" t="n">
        <f aca="false">E121-D121+1</f>
        <v>1</v>
      </c>
      <c r="G121" s="14" t="s">
        <v>177</v>
      </c>
      <c r="H121" s="15"/>
      <c r="I121" s="14"/>
      <c r="J121" s="13" t="n">
        <f aca="false">IF(H121&lt;&gt;"",H121,IF(C121="Slides",F121*Synthèse!$C$3,0))</f>
        <v>0</v>
      </c>
      <c r="K121" s="13" t="n">
        <f aca="false">SUMIFS($J$2:J121,$A$2:A121,A121)</f>
        <v>12</v>
      </c>
      <c r="L121" s="16"/>
    </row>
    <row r="122" customFormat="false" ht="23.85" hidden="false" customHeight="false" outlineLevel="0" collapsed="false">
      <c r="A122" s="23" t="s">
        <v>31</v>
      </c>
      <c r="B122" s="23" t="n">
        <v>24</v>
      </c>
      <c r="C122" s="23" t="s">
        <v>68</v>
      </c>
      <c r="D122" s="23" t="n">
        <v>46</v>
      </c>
      <c r="E122" s="23" t="n">
        <v>46</v>
      </c>
      <c r="F122" s="23"/>
      <c r="G122" s="24" t="s">
        <v>178</v>
      </c>
      <c r="H122" s="15"/>
      <c r="I122" s="24"/>
      <c r="J122" s="23" t="n">
        <f aca="false">IF(H122&lt;&gt;"",H122,IF(C122="Slides",F122*Synthèse!$C$3,0))</f>
        <v>0</v>
      </c>
      <c r="K122" s="23" t="n">
        <f aca="false">SUMIFS($J$2:J122,$A$2:A122,A122)</f>
        <v>12</v>
      </c>
      <c r="L122" s="16"/>
    </row>
    <row r="123" customFormat="false" ht="15" hidden="false" customHeight="false" outlineLevel="0" collapsed="false">
      <c r="A123" s="13" t="s">
        <v>32</v>
      </c>
      <c r="B123" s="13" t="n">
        <v>1</v>
      </c>
      <c r="C123" s="13" t="s">
        <v>19</v>
      </c>
      <c r="D123" s="13" t="n">
        <v>2</v>
      </c>
      <c r="E123" s="13" t="n">
        <v>2</v>
      </c>
      <c r="F123" s="13" t="n">
        <f aca="false">E123-D123+1</f>
        <v>1</v>
      </c>
      <c r="G123" s="14" t="s">
        <v>59</v>
      </c>
      <c r="H123" s="15"/>
      <c r="I123" s="14"/>
      <c r="J123" s="13" t="n">
        <f aca="false">IF(H123&lt;&gt;"",H123,IF(C123="Slides",F123*Synthèse!$C$3,0))</f>
        <v>0</v>
      </c>
      <c r="K123" s="13" t="n">
        <f aca="false">SUMIFS($J$2:J123,$A$2:A123,A123)</f>
        <v>0</v>
      </c>
      <c r="L123" s="16"/>
    </row>
    <row r="124" customFormat="false" ht="15" hidden="false" customHeight="false" outlineLevel="0" collapsed="false">
      <c r="A124" s="17" t="s">
        <v>32</v>
      </c>
      <c r="B124" s="17" t="n">
        <v>2</v>
      </c>
      <c r="C124" s="17" t="s">
        <v>56</v>
      </c>
      <c r="D124" s="17" t="n">
        <v>3</v>
      </c>
      <c r="E124" s="17" t="n">
        <v>3</v>
      </c>
      <c r="F124" s="17"/>
      <c r="G124" s="18" t="s">
        <v>179</v>
      </c>
      <c r="H124" s="19"/>
      <c r="I124" s="18"/>
      <c r="J124" s="17" t="n">
        <f aca="false">IF(H124&lt;&gt;"",H124,IF(C124="Slides",F124*Synthèse!$C$3,0))</f>
        <v>0</v>
      </c>
      <c r="K124" s="17" t="n">
        <f aca="false">SUMIFS($J$2:J124,$A$2:A124,A124)</f>
        <v>0</v>
      </c>
      <c r="L124" s="20"/>
    </row>
    <row r="125" customFormat="false" ht="23.85" hidden="false" customHeight="false" outlineLevel="0" collapsed="false">
      <c r="A125" s="21" t="s">
        <v>32</v>
      </c>
      <c r="B125" s="21" t="n">
        <v>3</v>
      </c>
      <c r="C125" s="21" t="s">
        <v>64</v>
      </c>
      <c r="D125" s="21" t="n">
        <v>4</v>
      </c>
      <c r="E125" s="21" t="n">
        <v>4</v>
      </c>
      <c r="F125" s="21"/>
      <c r="G125" s="22" t="s">
        <v>180</v>
      </c>
      <c r="H125" s="15" t="n">
        <v>12</v>
      </c>
      <c r="I125" s="22" t="s">
        <v>93</v>
      </c>
      <c r="J125" s="21" t="n">
        <f aca="false">IF(H125&lt;&gt;"",H125,IF(C125="Slides",F125*Synthèse!$C$3,0))</f>
        <v>12</v>
      </c>
      <c r="K125" s="21" t="n">
        <f aca="false">SUMIFS($J$2:J125,$A$2:A125,A125)</f>
        <v>12</v>
      </c>
      <c r="L125" s="16"/>
    </row>
    <row r="126" customFormat="false" ht="23.85" hidden="false" customHeight="false" outlineLevel="0" collapsed="false">
      <c r="A126" s="13" t="s">
        <v>32</v>
      </c>
      <c r="B126" s="13" t="n">
        <v>4</v>
      </c>
      <c r="C126" s="13" t="s">
        <v>19</v>
      </c>
      <c r="D126" s="13" t="n">
        <v>5</v>
      </c>
      <c r="E126" s="13" t="n">
        <v>8</v>
      </c>
      <c r="F126" s="13" t="n">
        <f aca="false">E126-D126+1</f>
        <v>4</v>
      </c>
      <c r="G126" s="14" t="s">
        <v>181</v>
      </c>
      <c r="H126" s="15"/>
      <c r="I126" s="14"/>
      <c r="J126" s="13" t="n">
        <f aca="false">IF(H126&lt;&gt;"",H126,IF(C126="Slides",F126*Synthèse!$C$3,0))</f>
        <v>0</v>
      </c>
      <c r="K126" s="13" t="n">
        <f aca="false">SUMIFS($J$2:J126,$A$2:A126,A126)</f>
        <v>12</v>
      </c>
      <c r="L126" s="16"/>
    </row>
    <row r="127" customFormat="false" ht="23.85" hidden="false" customHeight="false" outlineLevel="0" collapsed="false">
      <c r="A127" s="23" t="s">
        <v>32</v>
      </c>
      <c r="B127" s="23" t="n">
        <v>5</v>
      </c>
      <c r="C127" s="23" t="s">
        <v>68</v>
      </c>
      <c r="D127" s="23" t="n">
        <v>9</v>
      </c>
      <c r="E127" s="23" t="n">
        <v>9</v>
      </c>
      <c r="F127" s="23"/>
      <c r="G127" s="24" t="s">
        <v>182</v>
      </c>
      <c r="H127" s="15"/>
      <c r="I127" s="24"/>
      <c r="J127" s="23" t="n">
        <f aca="false">IF(H127&lt;&gt;"",H127,IF(C127="Slides",F127*Synthèse!$C$3,0))</f>
        <v>0</v>
      </c>
      <c r="K127" s="23" t="n">
        <f aca="false">SUMIFS($J$2:J127,$A$2:A127,A127)</f>
        <v>12</v>
      </c>
      <c r="L127" s="16"/>
    </row>
    <row r="128" customFormat="false" ht="15" hidden="false" customHeight="false" outlineLevel="0" collapsed="false">
      <c r="A128" s="17" t="s">
        <v>32</v>
      </c>
      <c r="B128" s="17" t="n">
        <v>6</v>
      </c>
      <c r="C128" s="17" t="s">
        <v>56</v>
      </c>
      <c r="D128" s="17" t="n">
        <v>10</v>
      </c>
      <c r="E128" s="17" t="n">
        <v>10</v>
      </c>
      <c r="F128" s="17"/>
      <c r="G128" s="18" t="s">
        <v>183</v>
      </c>
      <c r="H128" s="19"/>
      <c r="I128" s="18"/>
      <c r="J128" s="17" t="n">
        <f aca="false">IF(H128&lt;&gt;"",H128,IF(C128="Slides",F128*Synthèse!$C$3,0))</f>
        <v>0</v>
      </c>
      <c r="K128" s="17" t="n">
        <f aca="false">SUMIFS($J$2:J128,$A$2:A128,A128)</f>
        <v>12</v>
      </c>
      <c r="L128" s="20"/>
    </row>
    <row r="129" customFormat="false" ht="23.85" hidden="false" customHeight="false" outlineLevel="0" collapsed="false">
      <c r="A129" s="13" t="s">
        <v>32</v>
      </c>
      <c r="B129" s="13" t="n">
        <v>7</v>
      </c>
      <c r="C129" s="13" t="s">
        <v>19</v>
      </c>
      <c r="D129" s="13" t="n">
        <v>11</v>
      </c>
      <c r="E129" s="13" t="n">
        <v>13</v>
      </c>
      <c r="F129" s="13" t="n">
        <f aca="false">E129-D129+1</f>
        <v>3</v>
      </c>
      <c r="G129" s="14" t="s">
        <v>184</v>
      </c>
      <c r="H129" s="15"/>
      <c r="I129" s="14"/>
      <c r="J129" s="13" t="n">
        <f aca="false">IF(H129&lt;&gt;"",H129,IF(C129="Slides",F129*Synthèse!$C$3,0))</f>
        <v>0</v>
      </c>
      <c r="K129" s="13" t="n">
        <f aca="false">SUMIFS($J$2:J129,$A$2:A129,A129)</f>
        <v>12</v>
      </c>
      <c r="L129" s="16"/>
    </row>
    <row r="130" customFormat="false" ht="23.85" hidden="false" customHeight="false" outlineLevel="0" collapsed="false">
      <c r="A130" s="23" t="s">
        <v>32</v>
      </c>
      <c r="B130" s="23" t="n">
        <v>8</v>
      </c>
      <c r="C130" s="23" t="s">
        <v>68</v>
      </c>
      <c r="D130" s="23" t="n">
        <v>14</v>
      </c>
      <c r="E130" s="23" t="n">
        <v>14</v>
      </c>
      <c r="F130" s="23"/>
      <c r="G130" s="24" t="s">
        <v>185</v>
      </c>
      <c r="H130" s="15"/>
      <c r="I130" s="24"/>
      <c r="J130" s="23" t="n">
        <f aca="false">IF(H130&lt;&gt;"",H130,IF(C130="Slides",F130*Synthèse!$C$3,0))</f>
        <v>0</v>
      </c>
      <c r="K130" s="23" t="n">
        <f aca="false">SUMIFS($J$2:J130,$A$2:A130,A130)</f>
        <v>12</v>
      </c>
      <c r="L130" s="16"/>
    </row>
    <row r="131" customFormat="false" ht="15" hidden="false" customHeight="false" outlineLevel="0" collapsed="false">
      <c r="A131" s="17" t="s">
        <v>32</v>
      </c>
      <c r="B131" s="17" t="n">
        <v>9</v>
      </c>
      <c r="C131" s="17" t="s">
        <v>56</v>
      </c>
      <c r="D131" s="17" t="n">
        <v>15</v>
      </c>
      <c r="E131" s="17" t="n">
        <v>15</v>
      </c>
      <c r="F131" s="17"/>
      <c r="G131" s="18" t="s">
        <v>186</v>
      </c>
      <c r="H131" s="19"/>
      <c r="I131" s="18"/>
      <c r="J131" s="17" t="n">
        <f aca="false">IF(H131&lt;&gt;"",H131,IF(C131="Slides",F131*Synthèse!$C$3,0))</f>
        <v>0</v>
      </c>
      <c r="K131" s="17" t="n">
        <f aca="false">SUMIFS($J$2:J131,$A$2:A131,A131)</f>
        <v>12</v>
      </c>
      <c r="L131" s="20"/>
    </row>
    <row r="132" customFormat="false" ht="15" hidden="false" customHeight="false" outlineLevel="0" collapsed="false">
      <c r="A132" s="13" t="s">
        <v>32</v>
      </c>
      <c r="B132" s="13" t="n">
        <v>10</v>
      </c>
      <c r="C132" s="13" t="s">
        <v>19</v>
      </c>
      <c r="D132" s="13" t="n">
        <v>16</v>
      </c>
      <c r="E132" s="13" t="n">
        <v>17</v>
      </c>
      <c r="F132" s="13" t="n">
        <f aca="false">E132-D132+1</f>
        <v>2</v>
      </c>
      <c r="G132" s="14" t="s">
        <v>187</v>
      </c>
      <c r="H132" s="15"/>
      <c r="I132" s="14"/>
      <c r="J132" s="13" t="n">
        <f aca="false">IF(H132&lt;&gt;"",H132,IF(C132="Slides",F132*Synthèse!$C$3,0))</f>
        <v>0</v>
      </c>
      <c r="K132" s="13" t="n">
        <f aca="false">SUMIFS($J$2:J132,$A$2:A132,A132)</f>
        <v>12</v>
      </c>
      <c r="L132" s="16"/>
    </row>
    <row r="133" customFormat="false" ht="23.85" hidden="false" customHeight="false" outlineLevel="0" collapsed="false">
      <c r="A133" s="23" t="s">
        <v>32</v>
      </c>
      <c r="B133" s="23" t="n">
        <v>11</v>
      </c>
      <c r="C133" s="23" t="s">
        <v>68</v>
      </c>
      <c r="D133" s="23" t="n">
        <v>18</v>
      </c>
      <c r="E133" s="23" t="n">
        <v>18</v>
      </c>
      <c r="F133" s="23"/>
      <c r="G133" s="24" t="s">
        <v>188</v>
      </c>
      <c r="H133" s="15"/>
      <c r="I133" s="24"/>
      <c r="J133" s="23" t="n">
        <f aca="false">IF(H133&lt;&gt;"",H133,IF(C133="Slides",F133*Synthèse!$C$3,0))</f>
        <v>0</v>
      </c>
      <c r="K133" s="23" t="n">
        <f aca="false">SUMIFS($J$2:J133,$A$2:A133,A133)</f>
        <v>12</v>
      </c>
      <c r="L133" s="16"/>
    </row>
    <row r="134" customFormat="false" ht="15" hidden="false" customHeight="false" outlineLevel="0" collapsed="false">
      <c r="A134" s="17" t="s">
        <v>32</v>
      </c>
      <c r="B134" s="17" t="n">
        <v>12</v>
      </c>
      <c r="C134" s="17" t="s">
        <v>56</v>
      </c>
      <c r="D134" s="17" t="n">
        <v>19</v>
      </c>
      <c r="E134" s="17" t="n">
        <v>19</v>
      </c>
      <c r="F134" s="17"/>
      <c r="G134" s="18" t="s">
        <v>189</v>
      </c>
      <c r="H134" s="19"/>
      <c r="I134" s="18"/>
      <c r="J134" s="17" t="n">
        <f aca="false">IF(H134&lt;&gt;"",H134,IF(C134="Slides",F134*Synthèse!$C$3,0))</f>
        <v>0</v>
      </c>
      <c r="K134" s="17" t="n">
        <f aca="false">SUMIFS($J$2:J134,$A$2:A134,A134)</f>
        <v>12</v>
      </c>
      <c r="L134" s="20"/>
    </row>
    <row r="135" customFormat="false" ht="35.05" hidden="false" customHeight="false" outlineLevel="0" collapsed="false">
      <c r="A135" s="13" t="s">
        <v>32</v>
      </c>
      <c r="B135" s="13" t="n">
        <v>13</v>
      </c>
      <c r="C135" s="13" t="s">
        <v>19</v>
      </c>
      <c r="D135" s="13" t="n">
        <v>20</v>
      </c>
      <c r="E135" s="13" t="n">
        <v>26</v>
      </c>
      <c r="F135" s="13" t="n">
        <f aca="false">E135-D135+1</f>
        <v>7</v>
      </c>
      <c r="G135" s="14" t="s">
        <v>190</v>
      </c>
      <c r="H135" s="15"/>
      <c r="I135" s="14"/>
      <c r="J135" s="13" t="n">
        <f aca="false">IF(H135&lt;&gt;"",H135,IF(C135="Slides",F135*Synthèse!$C$3,0))</f>
        <v>0</v>
      </c>
      <c r="K135" s="13" t="n">
        <f aca="false">SUMIFS($J$2:J135,$A$2:A135,A135)</f>
        <v>12</v>
      </c>
      <c r="L135" s="16"/>
    </row>
    <row r="136" customFormat="false" ht="15" hidden="false" customHeight="false" outlineLevel="0" collapsed="false">
      <c r="A136" s="17" t="s">
        <v>32</v>
      </c>
      <c r="B136" s="17" t="n">
        <v>14</v>
      </c>
      <c r="C136" s="17" t="s">
        <v>56</v>
      </c>
      <c r="D136" s="17" t="n">
        <v>27</v>
      </c>
      <c r="E136" s="17" t="n">
        <v>27</v>
      </c>
      <c r="F136" s="17"/>
      <c r="G136" s="18" t="s">
        <v>191</v>
      </c>
      <c r="H136" s="19"/>
      <c r="I136" s="18"/>
      <c r="J136" s="17" t="n">
        <f aca="false">IF(H136&lt;&gt;"",H136,IF(C136="Slides",F136*Synthèse!$C$3,0))</f>
        <v>0</v>
      </c>
      <c r="K136" s="17" t="n">
        <f aca="false">SUMIFS($J$2:J136,$A$2:A136,A136)</f>
        <v>12</v>
      </c>
      <c r="L136" s="20"/>
    </row>
    <row r="137" customFormat="false" ht="23.85" hidden="false" customHeight="false" outlineLevel="0" collapsed="false">
      <c r="A137" s="13" t="s">
        <v>32</v>
      </c>
      <c r="B137" s="13" t="n">
        <v>15</v>
      </c>
      <c r="C137" s="13" t="s">
        <v>19</v>
      </c>
      <c r="D137" s="13" t="n">
        <v>28</v>
      </c>
      <c r="E137" s="13" t="n">
        <v>31</v>
      </c>
      <c r="F137" s="13" t="n">
        <f aca="false">E137-D137+1</f>
        <v>4</v>
      </c>
      <c r="G137" s="14" t="s">
        <v>192</v>
      </c>
      <c r="H137" s="15"/>
      <c r="I137" s="14"/>
      <c r="J137" s="13" t="n">
        <f aca="false">IF(H137&lt;&gt;"",H137,IF(C137="Slides",F137*Synthèse!$C$3,0))</f>
        <v>0</v>
      </c>
      <c r="K137" s="13" t="n">
        <f aca="false">SUMIFS($J$2:J137,$A$2:A137,A137)</f>
        <v>12</v>
      </c>
      <c r="L137" s="16"/>
    </row>
    <row r="138" customFormat="false" ht="23.85" hidden="false" customHeight="false" outlineLevel="0" collapsed="false">
      <c r="A138" s="23" t="s">
        <v>32</v>
      </c>
      <c r="B138" s="23" t="n">
        <v>16</v>
      </c>
      <c r="C138" s="23" t="s">
        <v>68</v>
      </c>
      <c r="D138" s="23" t="n">
        <v>32</v>
      </c>
      <c r="E138" s="23" t="n">
        <v>32</v>
      </c>
      <c r="F138" s="23"/>
      <c r="G138" s="24" t="s">
        <v>193</v>
      </c>
      <c r="H138" s="15"/>
      <c r="I138" s="24"/>
      <c r="J138" s="23" t="n">
        <f aca="false">IF(H138&lt;&gt;"",H138,IF(C138="Slides",F138*Synthèse!$C$3,0))</f>
        <v>0</v>
      </c>
      <c r="K138" s="23" t="n">
        <f aca="false">SUMIFS($J$2:J138,$A$2:A138,A138)</f>
        <v>12</v>
      </c>
      <c r="L138" s="16"/>
    </row>
    <row r="139" customFormat="false" ht="15" hidden="false" customHeight="false" outlineLevel="0" collapsed="false">
      <c r="A139" s="17" t="s">
        <v>32</v>
      </c>
      <c r="B139" s="17" t="n">
        <v>17</v>
      </c>
      <c r="C139" s="17" t="s">
        <v>56</v>
      </c>
      <c r="D139" s="17" t="n">
        <v>33</v>
      </c>
      <c r="E139" s="17" t="n">
        <v>33</v>
      </c>
      <c r="F139" s="17"/>
      <c r="G139" s="18" t="s">
        <v>194</v>
      </c>
      <c r="H139" s="19"/>
      <c r="I139" s="18"/>
      <c r="J139" s="17" t="n">
        <f aca="false">IF(H139&lt;&gt;"",H139,IF(C139="Slides",F139*Synthèse!$C$3,0))</f>
        <v>0</v>
      </c>
      <c r="K139" s="17" t="n">
        <f aca="false">SUMIFS($J$2:J139,$A$2:A139,A139)</f>
        <v>12</v>
      </c>
      <c r="L139" s="20"/>
    </row>
    <row r="140" customFormat="false" ht="35.05" hidden="false" customHeight="false" outlineLevel="0" collapsed="false">
      <c r="A140" s="13" t="s">
        <v>32</v>
      </c>
      <c r="B140" s="13" t="n">
        <v>18</v>
      </c>
      <c r="C140" s="13" t="s">
        <v>19</v>
      </c>
      <c r="D140" s="13" t="n">
        <v>34</v>
      </c>
      <c r="E140" s="13" t="n">
        <v>38</v>
      </c>
      <c r="F140" s="13" t="n">
        <f aca="false">E140-D140+1</f>
        <v>5</v>
      </c>
      <c r="G140" s="14" t="s">
        <v>195</v>
      </c>
      <c r="H140" s="15"/>
      <c r="I140" s="14"/>
      <c r="J140" s="13" t="n">
        <f aca="false">IF(H140&lt;&gt;"",H140,IF(C140="Slides",F140*Synthèse!$C$3,0))</f>
        <v>0</v>
      </c>
      <c r="K140" s="13" t="n">
        <f aca="false">SUMIFS($J$2:J140,$A$2:A140,A140)</f>
        <v>12</v>
      </c>
      <c r="L140" s="16"/>
    </row>
    <row r="141" customFormat="false" ht="15" hidden="false" customHeight="false" outlineLevel="0" collapsed="false">
      <c r="A141" s="13" t="s">
        <v>33</v>
      </c>
      <c r="B141" s="13" t="n">
        <v>1</v>
      </c>
      <c r="C141" s="13" t="s">
        <v>19</v>
      </c>
      <c r="D141" s="13" t="n">
        <v>2</v>
      </c>
      <c r="E141" s="13" t="n">
        <v>2</v>
      </c>
      <c r="F141" s="13" t="n">
        <f aca="false">E141-D141+1</f>
        <v>1</v>
      </c>
      <c r="G141" s="14" t="s">
        <v>59</v>
      </c>
      <c r="H141" s="15"/>
      <c r="I141" s="14"/>
      <c r="J141" s="13" t="n">
        <f aca="false">IF(H141&lt;&gt;"",H141,IF(C141="Slides",F141*Synthèse!$C$3,0))</f>
        <v>0</v>
      </c>
      <c r="K141" s="13" t="n">
        <f aca="false">SUMIFS($J$2:J141,$A$2:A141,A141)</f>
        <v>0</v>
      </c>
      <c r="L141" s="16"/>
    </row>
    <row r="142" customFormat="false" ht="15" hidden="false" customHeight="false" outlineLevel="0" collapsed="false">
      <c r="A142" s="17" t="s">
        <v>33</v>
      </c>
      <c r="B142" s="17" t="n">
        <v>2</v>
      </c>
      <c r="C142" s="17" t="s">
        <v>56</v>
      </c>
      <c r="D142" s="17" t="n">
        <v>3</v>
      </c>
      <c r="E142" s="17" t="n">
        <v>3</v>
      </c>
      <c r="F142" s="17"/>
      <c r="G142" s="18" t="s">
        <v>196</v>
      </c>
      <c r="H142" s="19"/>
      <c r="I142" s="18"/>
      <c r="J142" s="17" t="n">
        <f aca="false">IF(H142&lt;&gt;"",H142,IF(C142="Slides",F142*Synthèse!$C$3,0))</f>
        <v>0</v>
      </c>
      <c r="K142" s="17" t="n">
        <f aca="false">SUMIFS($J$2:J142,$A$2:A142,A142)</f>
        <v>0</v>
      </c>
      <c r="L142" s="20"/>
    </row>
    <row r="143" customFormat="false" ht="23.85" hidden="false" customHeight="false" outlineLevel="0" collapsed="false">
      <c r="A143" s="13" t="s">
        <v>33</v>
      </c>
      <c r="B143" s="13" t="n">
        <v>3</v>
      </c>
      <c r="C143" s="13" t="s">
        <v>19</v>
      </c>
      <c r="D143" s="13" t="n">
        <v>4</v>
      </c>
      <c r="E143" s="13" t="n">
        <v>7</v>
      </c>
      <c r="F143" s="13" t="n">
        <f aca="false">E143-D143+1</f>
        <v>4</v>
      </c>
      <c r="G143" s="14" t="s">
        <v>197</v>
      </c>
      <c r="H143" s="15"/>
      <c r="I143" s="14"/>
      <c r="J143" s="13" t="n">
        <f aca="false">IF(H143&lt;&gt;"",H143,IF(C143="Slides",F143*Synthèse!$C$3,0))</f>
        <v>0</v>
      </c>
      <c r="K143" s="13" t="n">
        <f aca="false">SUMIFS($J$2:J143,$A$2:A143,A143)</f>
        <v>0</v>
      </c>
      <c r="L143" s="16"/>
    </row>
    <row r="144" customFormat="false" ht="15" hidden="false" customHeight="false" outlineLevel="0" collapsed="false">
      <c r="A144" s="17" t="s">
        <v>33</v>
      </c>
      <c r="B144" s="17" t="n">
        <v>4</v>
      </c>
      <c r="C144" s="17" t="s">
        <v>56</v>
      </c>
      <c r="D144" s="17" t="n">
        <v>8</v>
      </c>
      <c r="E144" s="17" t="n">
        <v>8</v>
      </c>
      <c r="F144" s="17"/>
      <c r="G144" s="18" t="s">
        <v>198</v>
      </c>
      <c r="H144" s="19"/>
      <c r="I144" s="18"/>
      <c r="J144" s="17" t="n">
        <f aca="false">IF(H144&lt;&gt;"",H144,IF(C144="Slides",F144*Synthèse!$C$3,0))</f>
        <v>0</v>
      </c>
      <c r="K144" s="17" t="n">
        <f aca="false">SUMIFS($J$2:J144,$A$2:A144,A144)</f>
        <v>0</v>
      </c>
      <c r="L144" s="20"/>
    </row>
    <row r="145" customFormat="false" ht="15" hidden="false" customHeight="false" outlineLevel="0" collapsed="false">
      <c r="A145" s="13" t="s">
        <v>33</v>
      </c>
      <c r="B145" s="13" t="n">
        <v>5</v>
      </c>
      <c r="C145" s="13" t="s">
        <v>19</v>
      </c>
      <c r="D145" s="13" t="n">
        <v>9</v>
      </c>
      <c r="E145" s="13" t="n">
        <v>10</v>
      </c>
      <c r="F145" s="13" t="n">
        <f aca="false">E145-D145+1</f>
        <v>2</v>
      </c>
      <c r="G145" s="14" t="s">
        <v>199</v>
      </c>
      <c r="H145" s="15"/>
      <c r="I145" s="14"/>
      <c r="J145" s="13" t="n">
        <f aca="false">IF(H145&lt;&gt;"",H145,IF(C145="Slides",F145*Synthèse!$C$3,0))</f>
        <v>0</v>
      </c>
      <c r="K145" s="13" t="n">
        <f aca="false">SUMIFS($J$2:J145,$A$2:A145,A145)</f>
        <v>0</v>
      </c>
      <c r="L145" s="16"/>
    </row>
    <row r="146" customFormat="false" ht="23.85" hidden="false" customHeight="false" outlineLevel="0" collapsed="false">
      <c r="A146" s="21" t="s">
        <v>33</v>
      </c>
      <c r="B146" s="21" t="n">
        <v>6</v>
      </c>
      <c r="C146" s="21" t="s">
        <v>64</v>
      </c>
      <c r="D146" s="21" t="n">
        <v>11</v>
      </c>
      <c r="E146" s="21" t="n">
        <v>11</v>
      </c>
      <c r="F146" s="21"/>
      <c r="G146" s="22" t="s">
        <v>200</v>
      </c>
      <c r="H146" s="15" t="n">
        <v>25</v>
      </c>
      <c r="I146" s="22" t="s">
        <v>201</v>
      </c>
      <c r="J146" s="21" t="n">
        <f aca="false">IF(H146&lt;&gt;"",H146,IF(C146="Slides",F146*Synthèse!$C$3,0))</f>
        <v>25</v>
      </c>
      <c r="K146" s="21" t="n">
        <f aca="false">SUMIFS($J$2:J146,$A$2:A146,A146)</f>
        <v>25</v>
      </c>
      <c r="L146" s="16"/>
    </row>
    <row r="147" customFormat="false" ht="23.85" hidden="false" customHeight="false" outlineLevel="0" collapsed="false">
      <c r="A147" s="23" t="s">
        <v>33</v>
      </c>
      <c r="B147" s="23" t="n">
        <v>7</v>
      </c>
      <c r="C147" s="23" t="s">
        <v>68</v>
      </c>
      <c r="D147" s="23" t="n">
        <v>12</v>
      </c>
      <c r="E147" s="23" t="n">
        <v>12</v>
      </c>
      <c r="F147" s="23"/>
      <c r="G147" s="24" t="s">
        <v>202</v>
      </c>
      <c r="H147" s="15"/>
      <c r="I147" s="24"/>
      <c r="J147" s="23" t="n">
        <f aca="false">IF(H147&lt;&gt;"",H147,IF(C147="Slides",F147*Synthèse!$C$3,0))</f>
        <v>0</v>
      </c>
      <c r="K147" s="23" t="n">
        <f aca="false">SUMIFS($J$2:J147,$A$2:A147,A147)</f>
        <v>25</v>
      </c>
      <c r="L147" s="16"/>
    </row>
    <row r="148" customFormat="false" ht="15" hidden="false" customHeight="false" outlineLevel="0" collapsed="false">
      <c r="A148" s="17" t="s">
        <v>33</v>
      </c>
      <c r="B148" s="17" t="n">
        <v>8</v>
      </c>
      <c r="C148" s="17" t="s">
        <v>56</v>
      </c>
      <c r="D148" s="17" t="n">
        <v>13</v>
      </c>
      <c r="E148" s="17" t="n">
        <v>13</v>
      </c>
      <c r="F148" s="17"/>
      <c r="G148" s="18" t="s">
        <v>203</v>
      </c>
      <c r="H148" s="19"/>
      <c r="I148" s="18"/>
      <c r="J148" s="17" t="n">
        <f aca="false">IF(H148&lt;&gt;"",H148,IF(C148="Slides",F148*Synthèse!$C$3,0))</f>
        <v>0</v>
      </c>
      <c r="K148" s="17" t="n">
        <f aca="false">SUMIFS($J$2:J148,$A$2:A148,A148)</f>
        <v>25</v>
      </c>
      <c r="L148" s="20"/>
    </row>
    <row r="149" customFormat="false" ht="15" hidden="false" customHeight="false" outlineLevel="0" collapsed="false">
      <c r="A149" s="13" t="s">
        <v>33</v>
      </c>
      <c r="B149" s="13" t="n">
        <v>9</v>
      </c>
      <c r="C149" s="13" t="s">
        <v>19</v>
      </c>
      <c r="D149" s="13" t="n">
        <v>14</v>
      </c>
      <c r="E149" s="13" t="n">
        <v>15</v>
      </c>
      <c r="F149" s="13" t="n">
        <f aca="false">E149-D149+1</f>
        <v>2</v>
      </c>
      <c r="G149" s="14" t="s">
        <v>204</v>
      </c>
      <c r="H149" s="15"/>
      <c r="I149" s="14"/>
      <c r="J149" s="13" t="n">
        <f aca="false">IF(H149&lt;&gt;"",H149,IF(C149="Slides",F149*Synthèse!$C$3,0))</f>
        <v>0</v>
      </c>
      <c r="K149" s="13" t="n">
        <f aca="false">SUMIFS($J$2:J149,$A$2:A149,A149)</f>
        <v>25</v>
      </c>
      <c r="L149" s="16"/>
    </row>
    <row r="150" customFormat="false" ht="23.85" hidden="false" customHeight="false" outlineLevel="0" collapsed="false">
      <c r="A150" s="23" t="s">
        <v>33</v>
      </c>
      <c r="B150" s="23" t="n">
        <v>10</v>
      </c>
      <c r="C150" s="23" t="s">
        <v>68</v>
      </c>
      <c r="D150" s="23" t="n">
        <v>16</v>
      </c>
      <c r="E150" s="23" t="n">
        <v>16</v>
      </c>
      <c r="F150" s="23"/>
      <c r="G150" s="24" t="s">
        <v>205</v>
      </c>
      <c r="H150" s="15"/>
      <c r="I150" s="24"/>
      <c r="J150" s="23" t="n">
        <f aca="false">IF(H150&lt;&gt;"",H150,IF(C150="Slides",F150*Synthèse!$C$3,0))</f>
        <v>0</v>
      </c>
      <c r="K150" s="23" t="n">
        <f aca="false">SUMIFS($J$2:J150,$A$2:A150,A150)</f>
        <v>25</v>
      </c>
      <c r="L150" s="16"/>
    </row>
    <row r="151" customFormat="false" ht="15" hidden="false" customHeight="false" outlineLevel="0" collapsed="false">
      <c r="A151" s="17" t="s">
        <v>33</v>
      </c>
      <c r="B151" s="17" t="n">
        <v>11</v>
      </c>
      <c r="C151" s="17" t="s">
        <v>56</v>
      </c>
      <c r="D151" s="17" t="n">
        <v>17</v>
      </c>
      <c r="E151" s="17" t="n">
        <v>17</v>
      </c>
      <c r="F151" s="17"/>
      <c r="G151" s="18" t="s">
        <v>206</v>
      </c>
      <c r="H151" s="19"/>
      <c r="I151" s="18"/>
      <c r="J151" s="17" t="n">
        <f aca="false">IF(H151&lt;&gt;"",H151,IF(C151="Slides",F151*Synthèse!$C$3,0))</f>
        <v>0</v>
      </c>
      <c r="K151" s="17" t="n">
        <f aca="false">SUMIFS($J$2:J151,$A$2:A151,A151)</f>
        <v>25</v>
      </c>
      <c r="L151" s="20"/>
    </row>
    <row r="152" customFormat="false" ht="23.85" hidden="false" customHeight="false" outlineLevel="0" collapsed="false">
      <c r="A152" s="13" t="s">
        <v>33</v>
      </c>
      <c r="B152" s="13" t="n">
        <v>12</v>
      </c>
      <c r="C152" s="13" t="s">
        <v>19</v>
      </c>
      <c r="D152" s="13" t="n">
        <v>18</v>
      </c>
      <c r="E152" s="13" t="n">
        <v>20</v>
      </c>
      <c r="F152" s="13" t="n">
        <f aca="false">E152-D152+1</f>
        <v>3</v>
      </c>
      <c r="G152" s="14" t="s">
        <v>207</v>
      </c>
      <c r="H152" s="15"/>
      <c r="I152" s="14"/>
      <c r="J152" s="13" t="n">
        <f aca="false">IF(H152&lt;&gt;"",H152,IF(C152="Slides",F152*Synthèse!$C$3,0))</f>
        <v>0</v>
      </c>
      <c r="K152" s="13" t="n">
        <f aca="false">SUMIFS($J$2:J152,$A$2:A152,A152)</f>
        <v>25</v>
      </c>
      <c r="L152" s="16"/>
    </row>
    <row r="153" customFormat="false" ht="15" hidden="false" customHeight="false" outlineLevel="0" collapsed="false">
      <c r="A153" s="23" t="s">
        <v>33</v>
      </c>
      <c r="B153" s="23" t="n">
        <v>13</v>
      </c>
      <c r="C153" s="23" t="s">
        <v>68</v>
      </c>
      <c r="D153" s="23" t="n">
        <v>21</v>
      </c>
      <c r="E153" s="23" t="n">
        <v>21</v>
      </c>
      <c r="F153" s="23"/>
      <c r="G153" s="24" t="s">
        <v>208</v>
      </c>
      <c r="H153" s="15"/>
      <c r="I153" s="24"/>
      <c r="J153" s="23" t="n">
        <f aca="false">IF(H153&lt;&gt;"",H153,IF(C153="Slides",F153*Synthèse!$C$3,0))</f>
        <v>0</v>
      </c>
      <c r="K153" s="23" t="n">
        <f aca="false">SUMIFS($J$2:J153,$A$2:A153,A153)</f>
        <v>25</v>
      </c>
      <c r="L153" s="16"/>
    </row>
    <row r="154" customFormat="false" ht="15" hidden="false" customHeight="false" outlineLevel="0" collapsed="false">
      <c r="A154" s="17" t="s">
        <v>33</v>
      </c>
      <c r="B154" s="17" t="n">
        <v>14</v>
      </c>
      <c r="C154" s="17" t="s">
        <v>56</v>
      </c>
      <c r="D154" s="17" t="n">
        <v>22</v>
      </c>
      <c r="E154" s="17" t="n">
        <v>22</v>
      </c>
      <c r="F154" s="17"/>
      <c r="G154" s="18" t="s">
        <v>209</v>
      </c>
      <c r="H154" s="19"/>
      <c r="I154" s="18"/>
      <c r="J154" s="17" t="n">
        <f aca="false">IF(H154&lt;&gt;"",H154,IF(C154="Slides",F154*Synthèse!$C$3,0))</f>
        <v>0</v>
      </c>
      <c r="K154" s="17" t="n">
        <f aca="false">SUMIFS($J$2:J154,$A$2:A154,A154)</f>
        <v>25</v>
      </c>
      <c r="L154" s="20"/>
    </row>
    <row r="155" customFormat="false" ht="23.85" hidden="false" customHeight="false" outlineLevel="0" collapsed="false">
      <c r="A155" s="13" t="s">
        <v>33</v>
      </c>
      <c r="B155" s="13" t="n">
        <v>15</v>
      </c>
      <c r="C155" s="13" t="s">
        <v>19</v>
      </c>
      <c r="D155" s="13" t="n">
        <v>23</v>
      </c>
      <c r="E155" s="13" t="n">
        <v>25</v>
      </c>
      <c r="F155" s="13" t="n">
        <f aca="false">E155-D155+1</f>
        <v>3</v>
      </c>
      <c r="G155" s="14" t="s">
        <v>210</v>
      </c>
      <c r="H155" s="15"/>
      <c r="I155" s="14"/>
      <c r="J155" s="13" t="n">
        <f aca="false">IF(H155&lt;&gt;"",H155,IF(C155="Slides",F155*Synthèse!$C$3,0))</f>
        <v>0</v>
      </c>
      <c r="K155" s="13" t="n">
        <f aca="false">SUMIFS($J$2:J155,$A$2:A155,A155)</f>
        <v>25</v>
      </c>
      <c r="L155" s="16"/>
    </row>
    <row r="156" customFormat="false" ht="15" hidden="false" customHeight="false" outlineLevel="0" collapsed="false">
      <c r="A156" s="23" t="s">
        <v>33</v>
      </c>
      <c r="B156" s="23" t="n">
        <v>16</v>
      </c>
      <c r="C156" s="23" t="s">
        <v>68</v>
      </c>
      <c r="D156" s="23" t="n">
        <v>26</v>
      </c>
      <c r="E156" s="23" t="n">
        <v>26</v>
      </c>
      <c r="F156" s="23"/>
      <c r="G156" s="24" t="s">
        <v>211</v>
      </c>
      <c r="H156" s="15"/>
      <c r="I156" s="24"/>
      <c r="J156" s="23" t="n">
        <f aca="false">IF(H156&lt;&gt;"",H156,IF(C156="Slides",F156*Synthèse!$C$3,0))</f>
        <v>0</v>
      </c>
      <c r="K156" s="23" t="n">
        <f aca="false">SUMIFS($J$2:J156,$A$2:A156,A156)</f>
        <v>25</v>
      </c>
      <c r="L156" s="16"/>
    </row>
    <row r="157" customFormat="false" ht="15" hidden="false" customHeight="false" outlineLevel="0" collapsed="false">
      <c r="A157" s="17" t="s">
        <v>33</v>
      </c>
      <c r="B157" s="17" t="n">
        <v>17</v>
      </c>
      <c r="C157" s="17" t="s">
        <v>56</v>
      </c>
      <c r="D157" s="17" t="n">
        <v>27</v>
      </c>
      <c r="E157" s="17" t="n">
        <v>27</v>
      </c>
      <c r="F157" s="17"/>
      <c r="G157" s="18" t="s">
        <v>212</v>
      </c>
      <c r="H157" s="19"/>
      <c r="I157" s="18"/>
      <c r="J157" s="17" t="n">
        <f aca="false">IF(H157&lt;&gt;"",H157,IF(C157="Slides",F157*Synthèse!$C$3,0))</f>
        <v>0</v>
      </c>
      <c r="K157" s="17" t="n">
        <f aca="false">SUMIFS($J$2:J157,$A$2:A157,A157)</f>
        <v>25</v>
      </c>
      <c r="L157" s="20"/>
    </row>
    <row r="158" customFormat="false" ht="15" hidden="false" customHeight="false" outlineLevel="0" collapsed="false">
      <c r="A158" s="13" t="s">
        <v>33</v>
      </c>
      <c r="B158" s="13" t="n">
        <v>18</v>
      </c>
      <c r="C158" s="13" t="s">
        <v>19</v>
      </c>
      <c r="D158" s="13" t="n">
        <v>28</v>
      </c>
      <c r="E158" s="13" t="n">
        <v>30</v>
      </c>
      <c r="F158" s="13" t="n">
        <f aca="false">E158-D158+1</f>
        <v>3</v>
      </c>
      <c r="G158" s="14" t="s">
        <v>213</v>
      </c>
      <c r="H158" s="15"/>
      <c r="I158" s="14"/>
      <c r="J158" s="13" t="n">
        <f aca="false">IF(H158&lt;&gt;"",H158,IF(C158="Slides",F158*Synthèse!$C$3,0))</f>
        <v>0</v>
      </c>
      <c r="K158" s="13" t="n">
        <f aca="false">SUMIFS($J$2:J158,$A$2:A158,A158)</f>
        <v>25</v>
      </c>
      <c r="L158" s="16"/>
    </row>
    <row r="159" customFormat="false" ht="23.85" hidden="false" customHeight="false" outlineLevel="0" collapsed="false">
      <c r="A159" s="23" t="s">
        <v>33</v>
      </c>
      <c r="B159" s="23" t="n">
        <v>19</v>
      </c>
      <c r="C159" s="23" t="s">
        <v>68</v>
      </c>
      <c r="D159" s="23" t="n">
        <v>31</v>
      </c>
      <c r="E159" s="23" t="n">
        <v>31</v>
      </c>
      <c r="F159" s="23"/>
      <c r="G159" s="24" t="s">
        <v>214</v>
      </c>
      <c r="H159" s="15"/>
      <c r="I159" s="24"/>
      <c r="J159" s="23" t="n">
        <f aca="false">IF(H159&lt;&gt;"",H159,IF(C159="Slides",F159*Synthèse!$C$3,0))</f>
        <v>0</v>
      </c>
      <c r="K159" s="23" t="n">
        <f aca="false">SUMIFS($J$2:J159,$A$2:A159,A159)</f>
        <v>25</v>
      </c>
      <c r="L159" s="16"/>
    </row>
    <row r="160" customFormat="false" ht="15" hidden="false" customHeight="false" outlineLevel="0" collapsed="false">
      <c r="A160" s="13" t="s">
        <v>34</v>
      </c>
      <c r="B160" s="13" t="n">
        <v>1</v>
      </c>
      <c r="C160" s="13" t="s">
        <v>19</v>
      </c>
      <c r="D160" s="13" t="n">
        <v>2</v>
      </c>
      <c r="E160" s="13" t="n">
        <v>2</v>
      </c>
      <c r="F160" s="13" t="n">
        <f aca="false">E160-D160+1</f>
        <v>1</v>
      </c>
      <c r="G160" s="14" t="s">
        <v>59</v>
      </c>
      <c r="H160" s="15"/>
      <c r="I160" s="14"/>
      <c r="J160" s="13" t="n">
        <f aca="false">IF(H160&lt;&gt;"",H160,IF(C160="Slides",F160*Synthèse!$C$3,0))</f>
        <v>0</v>
      </c>
      <c r="K160" s="13" t="n">
        <f aca="false">SUMIFS($J$2:J160,$A$2:A160,A160)</f>
        <v>0</v>
      </c>
      <c r="L160" s="16"/>
    </row>
    <row r="161" customFormat="false" ht="15" hidden="false" customHeight="false" outlineLevel="0" collapsed="false">
      <c r="A161" s="17" t="s">
        <v>34</v>
      </c>
      <c r="B161" s="17" t="n">
        <v>2</v>
      </c>
      <c r="C161" s="17" t="s">
        <v>56</v>
      </c>
      <c r="D161" s="17" t="n">
        <v>3</v>
      </c>
      <c r="E161" s="17" t="n">
        <v>3</v>
      </c>
      <c r="F161" s="17"/>
      <c r="G161" s="18" t="s">
        <v>215</v>
      </c>
      <c r="H161" s="19"/>
      <c r="I161" s="18"/>
      <c r="J161" s="17" t="n">
        <f aca="false">IF(H161&lt;&gt;"",H161,IF(C161="Slides",F161*Synthèse!$C$3,0))</f>
        <v>0</v>
      </c>
      <c r="K161" s="17" t="n">
        <f aca="false">SUMIFS($J$2:J161,$A$2:A161,A161)</f>
        <v>0</v>
      </c>
      <c r="L161" s="20"/>
    </row>
    <row r="162" customFormat="false" ht="23.85" hidden="false" customHeight="false" outlineLevel="0" collapsed="false">
      <c r="A162" s="21" t="s">
        <v>34</v>
      </c>
      <c r="B162" s="21" t="n">
        <v>3</v>
      </c>
      <c r="C162" s="21" t="s">
        <v>64</v>
      </c>
      <c r="D162" s="21" t="n">
        <v>4</v>
      </c>
      <c r="E162" s="21" t="n">
        <v>4</v>
      </c>
      <c r="F162" s="21"/>
      <c r="G162" s="22" t="s">
        <v>216</v>
      </c>
      <c r="H162" s="15" t="n">
        <v>12</v>
      </c>
      <c r="I162" s="22" t="s">
        <v>93</v>
      </c>
      <c r="J162" s="21" t="n">
        <f aca="false">IF(H162&lt;&gt;"",H162,IF(C162="Slides",F162*Synthèse!$C$3,0))</f>
        <v>12</v>
      </c>
      <c r="K162" s="21" t="n">
        <f aca="false">SUMIFS($J$2:J162,$A$2:A162,A162)</f>
        <v>12</v>
      </c>
      <c r="L162" s="16"/>
    </row>
    <row r="163" customFormat="false" ht="23.85" hidden="false" customHeight="false" outlineLevel="0" collapsed="false">
      <c r="A163" s="13" t="s">
        <v>34</v>
      </c>
      <c r="B163" s="13" t="n">
        <v>4</v>
      </c>
      <c r="C163" s="13" t="s">
        <v>19</v>
      </c>
      <c r="D163" s="13" t="n">
        <v>5</v>
      </c>
      <c r="E163" s="13" t="n">
        <v>7</v>
      </c>
      <c r="F163" s="13" t="n">
        <f aca="false">E163-D163+1</f>
        <v>3</v>
      </c>
      <c r="G163" s="14" t="s">
        <v>217</v>
      </c>
      <c r="H163" s="15"/>
      <c r="I163" s="14"/>
      <c r="J163" s="13" t="n">
        <f aca="false">IF(H163&lt;&gt;"",H163,IF(C163="Slides",F163*Synthèse!$C$3,0))</f>
        <v>0</v>
      </c>
      <c r="K163" s="13" t="n">
        <f aca="false">SUMIFS($J$2:J163,$A$2:A163,A163)</f>
        <v>12</v>
      </c>
      <c r="L163" s="16"/>
    </row>
    <row r="164" customFormat="false" ht="15" hidden="false" customHeight="false" outlineLevel="0" collapsed="false">
      <c r="A164" s="17" t="s">
        <v>34</v>
      </c>
      <c r="B164" s="17" t="n">
        <v>5</v>
      </c>
      <c r="C164" s="17" t="s">
        <v>56</v>
      </c>
      <c r="D164" s="17" t="n">
        <v>8</v>
      </c>
      <c r="E164" s="17" t="n">
        <v>8</v>
      </c>
      <c r="F164" s="17"/>
      <c r="G164" s="18" t="s">
        <v>218</v>
      </c>
      <c r="H164" s="19"/>
      <c r="I164" s="18"/>
      <c r="J164" s="17" t="n">
        <f aca="false">IF(H164&lt;&gt;"",H164,IF(C164="Slides",F164*Synthèse!$C$3,0))</f>
        <v>0</v>
      </c>
      <c r="K164" s="17" t="n">
        <f aca="false">SUMIFS($J$2:J164,$A$2:A164,A164)</f>
        <v>12</v>
      </c>
      <c r="L164" s="20"/>
    </row>
    <row r="165" customFormat="false" ht="23.85" hidden="false" customHeight="false" outlineLevel="0" collapsed="false">
      <c r="A165" s="13" t="s">
        <v>34</v>
      </c>
      <c r="B165" s="13" t="n">
        <v>6</v>
      </c>
      <c r="C165" s="13" t="s">
        <v>19</v>
      </c>
      <c r="D165" s="13" t="n">
        <v>9</v>
      </c>
      <c r="E165" s="13" t="n">
        <v>13</v>
      </c>
      <c r="F165" s="13" t="n">
        <f aca="false">E165-D165+1</f>
        <v>5</v>
      </c>
      <c r="G165" s="14" t="s">
        <v>219</v>
      </c>
      <c r="H165" s="15"/>
      <c r="I165" s="14"/>
      <c r="J165" s="13" t="n">
        <f aca="false">IF(H165&lt;&gt;"",H165,IF(C165="Slides",F165*Synthèse!$C$3,0))</f>
        <v>0</v>
      </c>
      <c r="K165" s="13" t="n">
        <f aca="false">SUMIFS($J$2:J165,$A$2:A165,A165)</f>
        <v>12</v>
      </c>
      <c r="L165" s="16"/>
    </row>
    <row r="166" customFormat="false" ht="23.85" hidden="false" customHeight="false" outlineLevel="0" collapsed="false">
      <c r="A166" s="23" t="s">
        <v>34</v>
      </c>
      <c r="B166" s="23" t="n">
        <v>7</v>
      </c>
      <c r="C166" s="23" t="s">
        <v>68</v>
      </c>
      <c r="D166" s="23" t="n">
        <v>14</v>
      </c>
      <c r="E166" s="23" t="n">
        <v>14</v>
      </c>
      <c r="F166" s="23"/>
      <c r="G166" s="24" t="s">
        <v>220</v>
      </c>
      <c r="H166" s="15"/>
      <c r="I166" s="24"/>
      <c r="J166" s="23" t="n">
        <f aca="false">IF(H166&lt;&gt;"",H166,IF(C166="Slides",F166*Synthèse!$C$3,0))</f>
        <v>0</v>
      </c>
      <c r="K166" s="23" t="n">
        <f aca="false">SUMIFS($J$2:J166,$A$2:A166,A166)</f>
        <v>12</v>
      </c>
      <c r="L166" s="16"/>
    </row>
    <row r="167" customFormat="false" ht="15" hidden="false" customHeight="false" outlineLevel="0" collapsed="false">
      <c r="A167" s="17" t="s">
        <v>34</v>
      </c>
      <c r="B167" s="17" t="n">
        <v>8</v>
      </c>
      <c r="C167" s="17" t="s">
        <v>56</v>
      </c>
      <c r="D167" s="17" t="n">
        <v>15</v>
      </c>
      <c r="E167" s="17" t="n">
        <v>15</v>
      </c>
      <c r="F167" s="17"/>
      <c r="G167" s="18" t="s">
        <v>221</v>
      </c>
      <c r="H167" s="19"/>
      <c r="I167" s="18"/>
      <c r="J167" s="17" t="n">
        <f aca="false">IF(H167&lt;&gt;"",H167,IF(C167="Slides",F167*Synthèse!$C$3,0))</f>
        <v>0</v>
      </c>
      <c r="K167" s="17" t="n">
        <f aca="false">SUMIFS($J$2:J167,$A$2:A167,A167)</f>
        <v>12</v>
      </c>
      <c r="L167" s="20"/>
    </row>
    <row r="168" customFormat="false" ht="15" hidden="false" customHeight="false" outlineLevel="0" collapsed="false">
      <c r="A168" s="13" t="s">
        <v>34</v>
      </c>
      <c r="B168" s="13" t="n">
        <v>9</v>
      </c>
      <c r="C168" s="13" t="s">
        <v>19</v>
      </c>
      <c r="D168" s="13" t="n">
        <v>16</v>
      </c>
      <c r="E168" s="13" t="n">
        <v>18</v>
      </c>
      <c r="F168" s="13" t="n">
        <f aca="false">E168-D168+1</f>
        <v>3</v>
      </c>
      <c r="G168" s="14" t="s">
        <v>222</v>
      </c>
      <c r="H168" s="15"/>
      <c r="I168" s="14"/>
      <c r="J168" s="13" t="n">
        <f aca="false">IF(H168&lt;&gt;"",H168,IF(C168="Slides",F168*Synthèse!$C$3,0))</f>
        <v>0</v>
      </c>
      <c r="K168" s="13" t="n">
        <f aca="false">SUMIFS($J$2:J168,$A$2:A168,A168)</f>
        <v>12</v>
      </c>
      <c r="L168" s="16"/>
    </row>
    <row r="169" customFormat="false" ht="15" hidden="false" customHeight="false" outlineLevel="0" collapsed="false">
      <c r="A169" s="23" t="s">
        <v>34</v>
      </c>
      <c r="B169" s="23" t="n">
        <v>10</v>
      </c>
      <c r="C169" s="23" t="s">
        <v>68</v>
      </c>
      <c r="D169" s="23" t="n">
        <v>19</v>
      </c>
      <c r="E169" s="23" t="n">
        <v>19</v>
      </c>
      <c r="F169" s="23"/>
      <c r="G169" s="24" t="s">
        <v>223</v>
      </c>
      <c r="H169" s="15"/>
      <c r="I169" s="24"/>
      <c r="J169" s="23" t="n">
        <f aca="false">IF(H169&lt;&gt;"",H169,IF(C169="Slides",F169*Synthèse!$C$3,0))</f>
        <v>0</v>
      </c>
      <c r="K169" s="23" t="n">
        <f aca="false">SUMIFS($J$2:J169,$A$2:A169,A169)</f>
        <v>12</v>
      </c>
      <c r="L169" s="16"/>
    </row>
    <row r="170" customFormat="false" ht="15" hidden="false" customHeight="false" outlineLevel="0" collapsed="false">
      <c r="A170" s="17" t="s">
        <v>34</v>
      </c>
      <c r="B170" s="17" t="n">
        <v>11</v>
      </c>
      <c r="C170" s="17" t="s">
        <v>56</v>
      </c>
      <c r="D170" s="17" t="n">
        <v>20</v>
      </c>
      <c r="E170" s="17" t="n">
        <v>20</v>
      </c>
      <c r="F170" s="17"/>
      <c r="G170" s="18" t="s">
        <v>224</v>
      </c>
      <c r="H170" s="19"/>
      <c r="I170" s="18"/>
      <c r="J170" s="17" t="n">
        <f aca="false">IF(H170&lt;&gt;"",H170,IF(C170="Slides",F170*Synthèse!$C$3,0))</f>
        <v>0</v>
      </c>
      <c r="K170" s="17" t="n">
        <f aca="false">SUMIFS($J$2:J170,$A$2:A170,A170)</f>
        <v>12</v>
      </c>
      <c r="L170" s="20"/>
    </row>
    <row r="171" customFormat="false" ht="15" hidden="false" customHeight="false" outlineLevel="0" collapsed="false">
      <c r="A171" s="13" t="s">
        <v>34</v>
      </c>
      <c r="B171" s="13" t="n">
        <v>12</v>
      </c>
      <c r="C171" s="13" t="s">
        <v>19</v>
      </c>
      <c r="D171" s="13" t="n">
        <v>21</v>
      </c>
      <c r="E171" s="13" t="n">
        <v>23</v>
      </c>
      <c r="F171" s="13" t="n">
        <f aca="false">E171-D171+1</f>
        <v>3</v>
      </c>
      <c r="G171" s="14" t="s">
        <v>225</v>
      </c>
      <c r="H171" s="15"/>
      <c r="I171" s="14"/>
      <c r="J171" s="13" t="n">
        <f aca="false">IF(H171&lt;&gt;"",H171,IF(C171="Slides",F171*Synthèse!$C$3,0))</f>
        <v>0</v>
      </c>
      <c r="K171" s="13" t="n">
        <f aca="false">SUMIFS($J$2:J171,$A$2:A171,A171)</f>
        <v>12</v>
      </c>
      <c r="L171" s="16"/>
    </row>
    <row r="172" customFormat="false" ht="15" hidden="false" customHeight="false" outlineLevel="0" collapsed="false">
      <c r="A172" s="23" t="s">
        <v>34</v>
      </c>
      <c r="B172" s="23" t="n">
        <v>13</v>
      </c>
      <c r="C172" s="23" t="s">
        <v>68</v>
      </c>
      <c r="D172" s="23" t="n">
        <v>24</v>
      </c>
      <c r="E172" s="23" t="n">
        <v>24</v>
      </c>
      <c r="F172" s="23"/>
      <c r="G172" s="24" t="s">
        <v>226</v>
      </c>
      <c r="H172" s="15"/>
      <c r="I172" s="24"/>
      <c r="J172" s="23" t="n">
        <f aca="false">IF(H172&lt;&gt;"",H172,IF(C172="Slides",F172*Synthèse!$C$3,0))</f>
        <v>0</v>
      </c>
      <c r="K172" s="23" t="n">
        <f aca="false">SUMIFS($J$2:J172,$A$2:A172,A172)</f>
        <v>12</v>
      </c>
      <c r="L172" s="16"/>
    </row>
    <row r="173" customFormat="false" ht="15" hidden="false" customHeight="false" outlineLevel="0" collapsed="false">
      <c r="A173" s="17" t="s">
        <v>34</v>
      </c>
      <c r="B173" s="17" t="n">
        <v>14</v>
      </c>
      <c r="C173" s="17" t="s">
        <v>56</v>
      </c>
      <c r="D173" s="17" t="n">
        <v>25</v>
      </c>
      <c r="E173" s="17" t="n">
        <v>25</v>
      </c>
      <c r="F173" s="17"/>
      <c r="G173" s="18" t="s">
        <v>227</v>
      </c>
      <c r="H173" s="19"/>
      <c r="I173" s="18"/>
      <c r="J173" s="17" t="n">
        <f aca="false">IF(H173&lt;&gt;"",H173,IF(C173="Slides",F173*Synthèse!$C$3,0))</f>
        <v>0</v>
      </c>
      <c r="K173" s="17" t="n">
        <f aca="false">SUMIFS($J$2:J173,$A$2:A173,A173)</f>
        <v>12</v>
      </c>
      <c r="L173" s="20"/>
    </row>
    <row r="174" customFormat="false" ht="23.85" hidden="false" customHeight="false" outlineLevel="0" collapsed="false">
      <c r="A174" s="13" t="s">
        <v>34</v>
      </c>
      <c r="B174" s="13" t="n">
        <v>15</v>
      </c>
      <c r="C174" s="13" t="s">
        <v>19</v>
      </c>
      <c r="D174" s="13" t="n">
        <v>26</v>
      </c>
      <c r="E174" s="13" t="n">
        <v>28</v>
      </c>
      <c r="F174" s="13" t="n">
        <f aca="false">E174-D174+1</f>
        <v>3</v>
      </c>
      <c r="G174" s="14" t="s">
        <v>228</v>
      </c>
      <c r="H174" s="15"/>
      <c r="I174" s="14"/>
      <c r="J174" s="13" t="n">
        <f aca="false">IF(H174&lt;&gt;"",H174,IF(C174="Slides",F174*Synthèse!$C$3,0))</f>
        <v>0</v>
      </c>
      <c r="K174" s="13" t="n">
        <f aca="false">SUMIFS($J$2:J174,$A$2:A174,A174)</f>
        <v>12</v>
      </c>
      <c r="L174" s="16"/>
    </row>
    <row r="175" customFormat="false" ht="15" hidden="false" customHeight="false" outlineLevel="0" collapsed="false">
      <c r="A175" s="23" t="s">
        <v>34</v>
      </c>
      <c r="B175" s="23" t="n">
        <v>16</v>
      </c>
      <c r="C175" s="23" t="s">
        <v>68</v>
      </c>
      <c r="D175" s="23" t="n">
        <v>29</v>
      </c>
      <c r="E175" s="23" t="n">
        <v>29</v>
      </c>
      <c r="F175" s="23"/>
      <c r="G175" s="24" t="s">
        <v>229</v>
      </c>
      <c r="H175" s="15"/>
      <c r="I175" s="24"/>
      <c r="J175" s="23" t="n">
        <f aca="false">IF(H175&lt;&gt;"",H175,IF(C175="Slides",F175*Synthèse!$C$3,0))</f>
        <v>0</v>
      </c>
      <c r="K175" s="23" t="n">
        <f aca="false">SUMIFS($J$2:J175,$A$2:A175,A175)</f>
        <v>12</v>
      </c>
      <c r="L175" s="16"/>
    </row>
    <row r="176" customFormat="false" ht="15" hidden="false" customHeight="false" outlineLevel="0" collapsed="false">
      <c r="A176" s="17" t="s">
        <v>34</v>
      </c>
      <c r="B176" s="17" t="n">
        <v>17</v>
      </c>
      <c r="C176" s="17" t="s">
        <v>56</v>
      </c>
      <c r="D176" s="17" t="n">
        <v>30</v>
      </c>
      <c r="E176" s="17" t="n">
        <v>30</v>
      </c>
      <c r="F176" s="17"/>
      <c r="G176" s="18" t="s">
        <v>230</v>
      </c>
      <c r="H176" s="19"/>
      <c r="I176" s="18"/>
      <c r="J176" s="17" t="n">
        <f aca="false">IF(H176&lt;&gt;"",H176,IF(C176="Slides",F176*Synthèse!$C$3,0))</f>
        <v>0</v>
      </c>
      <c r="K176" s="17" t="n">
        <f aca="false">SUMIFS($J$2:J176,$A$2:A176,A176)</f>
        <v>12</v>
      </c>
      <c r="L176" s="20"/>
    </row>
    <row r="177" customFormat="false" ht="15" hidden="false" customHeight="false" outlineLevel="0" collapsed="false">
      <c r="A177" s="13" t="s">
        <v>34</v>
      </c>
      <c r="B177" s="13" t="n">
        <v>18</v>
      </c>
      <c r="C177" s="13" t="s">
        <v>19</v>
      </c>
      <c r="D177" s="13" t="n">
        <v>31</v>
      </c>
      <c r="E177" s="13" t="n">
        <v>32</v>
      </c>
      <c r="F177" s="13" t="n">
        <f aca="false">E177-D177+1</f>
        <v>2</v>
      </c>
      <c r="G177" s="14" t="s">
        <v>231</v>
      </c>
      <c r="H177" s="15"/>
      <c r="I177" s="14"/>
      <c r="J177" s="13" t="n">
        <f aca="false">IF(H177&lt;&gt;"",H177,IF(C177="Slides",F177*Synthèse!$C$3,0))</f>
        <v>0</v>
      </c>
      <c r="K177" s="13" t="n">
        <f aca="false">SUMIFS($J$2:J177,$A$2:A177,A177)</f>
        <v>12</v>
      </c>
      <c r="L177" s="16"/>
    </row>
    <row r="178" customFormat="false" ht="15" hidden="false" customHeight="false" outlineLevel="0" collapsed="false">
      <c r="A178" s="23" t="s">
        <v>34</v>
      </c>
      <c r="B178" s="23" t="n">
        <v>19</v>
      </c>
      <c r="C178" s="23" t="s">
        <v>68</v>
      </c>
      <c r="D178" s="23" t="n">
        <v>33</v>
      </c>
      <c r="E178" s="23" t="n">
        <v>33</v>
      </c>
      <c r="F178" s="23"/>
      <c r="G178" s="24" t="s">
        <v>232</v>
      </c>
      <c r="H178" s="15"/>
      <c r="I178" s="24"/>
      <c r="J178" s="23" t="n">
        <f aca="false">IF(H178&lt;&gt;"",H178,IF(C178="Slides",F178*Synthèse!$C$3,0))</f>
        <v>0</v>
      </c>
      <c r="K178" s="23" t="n">
        <f aca="false">SUMIFS($J$2:J178,$A$2:A178,A178)</f>
        <v>12</v>
      </c>
      <c r="L178" s="16"/>
    </row>
    <row r="179" customFormat="false" ht="15" hidden="false" customHeight="false" outlineLevel="0" collapsed="false">
      <c r="A179" s="17" t="s">
        <v>34</v>
      </c>
      <c r="B179" s="17" t="n">
        <v>20</v>
      </c>
      <c r="C179" s="17" t="s">
        <v>56</v>
      </c>
      <c r="D179" s="17" t="n">
        <v>34</v>
      </c>
      <c r="E179" s="17" t="n">
        <v>34</v>
      </c>
      <c r="F179" s="17"/>
      <c r="G179" s="18" t="s">
        <v>233</v>
      </c>
      <c r="H179" s="19"/>
      <c r="I179" s="18"/>
      <c r="J179" s="17" t="n">
        <f aca="false">IF(H179&lt;&gt;"",H179,IF(C179="Slides",F179*Synthèse!$C$3,0))</f>
        <v>0</v>
      </c>
      <c r="K179" s="17" t="n">
        <f aca="false">SUMIFS($J$2:J179,$A$2:A179,A179)</f>
        <v>12</v>
      </c>
      <c r="L179" s="20"/>
    </row>
    <row r="180" customFormat="false" ht="15" hidden="false" customHeight="false" outlineLevel="0" collapsed="false">
      <c r="A180" s="13" t="s">
        <v>34</v>
      </c>
      <c r="B180" s="13" t="n">
        <v>21</v>
      </c>
      <c r="C180" s="13" t="s">
        <v>19</v>
      </c>
      <c r="D180" s="13" t="n">
        <v>35</v>
      </c>
      <c r="E180" s="13" t="n">
        <v>38</v>
      </c>
      <c r="F180" s="13" t="n">
        <f aca="false">E180-D180+1</f>
        <v>4</v>
      </c>
      <c r="G180" s="14" t="s">
        <v>234</v>
      </c>
      <c r="H180" s="15"/>
      <c r="I180" s="14"/>
      <c r="J180" s="13" t="n">
        <f aca="false">IF(H180&lt;&gt;"",H180,IF(C180="Slides",F180*Synthèse!$C$3,0))</f>
        <v>0</v>
      </c>
      <c r="K180" s="13" t="n">
        <f aca="false">SUMIFS($J$2:J180,$A$2:A180,A180)</f>
        <v>12</v>
      </c>
      <c r="L180" s="16"/>
    </row>
    <row r="181" customFormat="false" ht="15" hidden="false" customHeight="false" outlineLevel="0" collapsed="false">
      <c r="A181" s="13" t="s">
        <v>35</v>
      </c>
      <c r="B181" s="13" t="n">
        <v>1</v>
      </c>
      <c r="C181" s="13" t="s">
        <v>19</v>
      </c>
      <c r="D181" s="13" t="n">
        <v>2</v>
      </c>
      <c r="E181" s="13" t="n">
        <v>2</v>
      </c>
      <c r="F181" s="13" t="n">
        <f aca="false">E181-D181+1</f>
        <v>1</v>
      </c>
      <c r="G181" s="14" t="s">
        <v>59</v>
      </c>
      <c r="H181" s="15"/>
      <c r="I181" s="14"/>
      <c r="J181" s="13" t="n">
        <f aca="false">IF(H181&lt;&gt;"",H181,IF(C181="Slides",F181*Synthèse!$C$3,0))</f>
        <v>0</v>
      </c>
      <c r="K181" s="13" t="n">
        <f aca="false">SUMIFS($J$2:J181,$A$2:A181,A181)</f>
        <v>0</v>
      </c>
      <c r="L181" s="16"/>
    </row>
    <row r="182" customFormat="false" ht="15" hidden="false" customHeight="false" outlineLevel="0" collapsed="false">
      <c r="A182" s="17" t="s">
        <v>35</v>
      </c>
      <c r="B182" s="17" t="n">
        <v>2</v>
      </c>
      <c r="C182" s="17" t="s">
        <v>56</v>
      </c>
      <c r="D182" s="17" t="n">
        <v>3</v>
      </c>
      <c r="E182" s="17" t="n">
        <v>3</v>
      </c>
      <c r="F182" s="17"/>
      <c r="G182" s="18" t="s">
        <v>235</v>
      </c>
      <c r="H182" s="19"/>
      <c r="I182" s="18"/>
      <c r="J182" s="17" t="n">
        <f aca="false">IF(H182&lt;&gt;"",H182,IF(C182="Slides",F182*Synthèse!$C$3,0))</f>
        <v>0</v>
      </c>
      <c r="K182" s="17" t="n">
        <f aca="false">SUMIFS($J$2:J182,$A$2:A182,A182)</f>
        <v>0</v>
      </c>
      <c r="L182" s="20"/>
    </row>
    <row r="183" customFormat="false" ht="15" hidden="false" customHeight="false" outlineLevel="0" collapsed="false">
      <c r="A183" s="21" t="s">
        <v>35</v>
      </c>
      <c r="B183" s="21" t="n">
        <v>3</v>
      </c>
      <c r="C183" s="21" t="s">
        <v>64</v>
      </c>
      <c r="D183" s="21" t="n">
        <v>4</v>
      </c>
      <c r="E183" s="21" t="n">
        <v>4</v>
      </c>
      <c r="F183" s="21"/>
      <c r="G183" s="22" t="s">
        <v>236</v>
      </c>
      <c r="H183" s="15" t="n">
        <v>12</v>
      </c>
      <c r="I183" s="22" t="s">
        <v>237</v>
      </c>
      <c r="J183" s="21" t="n">
        <f aca="false">IF(H183&lt;&gt;"",H183,IF(C183="Slides",F183*Synthèse!$C$3,0))</f>
        <v>12</v>
      </c>
      <c r="K183" s="21" t="n">
        <f aca="false">SUMIFS($J$2:J183,$A$2:A183,A183)</f>
        <v>12</v>
      </c>
      <c r="L183" s="16"/>
    </row>
    <row r="184" customFormat="false" ht="23.85" hidden="false" customHeight="false" outlineLevel="0" collapsed="false">
      <c r="A184" s="13" t="s">
        <v>35</v>
      </c>
      <c r="B184" s="13" t="n">
        <v>4</v>
      </c>
      <c r="C184" s="13" t="s">
        <v>19</v>
      </c>
      <c r="D184" s="13" t="n">
        <v>5</v>
      </c>
      <c r="E184" s="13" t="n">
        <v>8</v>
      </c>
      <c r="F184" s="13" t="n">
        <f aca="false">E184-D184+1</f>
        <v>4</v>
      </c>
      <c r="G184" s="14" t="s">
        <v>238</v>
      </c>
      <c r="H184" s="15"/>
      <c r="I184" s="14"/>
      <c r="J184" s="13" t="n">
        <f aca="false">IF(H184&lt;&gt;"",H184,IF(C184="Slides",F184*Synthèse!$C$3,0))</f>
        <v>0</v>
      </c>
      <c r="K184" s="13" t="n">
        <f aca="false">SUMIFS($J$2:J184,$A$2:A184,A184)</f>
        <v>12</v>
      </c>
      <c r="L184" s="16"/>
    </row>
    <row r="185" customFormat="false" ht="15" hidden="false" customHeight="false" outlineLevel="0" collapsed="false">
      <c r="A185" s="17" t="s">
        <v>35</v>
      </c>
      <c r="B185" s="17" t="n">
        <v>5</v>
      </c>
      <c r="C185" s="17" t="s">
        <v>56</v>
      </c>
      <c r="D185" s="17" t="n">
        <v>9</v>
      </c>
      <c r="E185" s="17" t="n">
        <v>9</v>
      </c>
      <c r="F185" s="17"/>
      <c r="G185" s="18" t="s">
        <v>239</v>
      </c>
      <c r="H185" s="19"/>
      <c r="I185" s="18"/>
      <c r="J185" s="17" t="n">
        <f aca="false">IF(H185&lt;&gt;"",H185,IF(C185="Slides",F185*Synthèse!$C$3,0))</f>
        <v>0</v>
      </c>
      <c r="K185" s="17" t="n">
        <f aca="false">SUMIFS($J$2:J185,$A$2:A185,A185)</f>
        <v>12</v>
      </c>
      <c r="L185" s="20"/>
    </row>
    <row r="186" customFormat="false" ht="23.85" hidden="false" customHeight="false" outlineLevel="0" collapsed="false">
      <c r="A186" s="13" t="s">
        <v>35</v>
      </c>
      <c r="B186" s="13" t="n">
        <v>6</v>
      </c>
      <c r="C186" s="13" t="s">
        <v>19</v>
      </c>
      <c r="D186" s="13" t="n">
        <v>10</v>
      </c>
      <c r="E186" s="13" t="n">
        <v>12</v>
      </c>
      <c r="F186" s="13" t="n">
        <f aca="false">E186-D186+1</f>
        <v>3</v>
      </c>
      <c r="G186" s="14" t="s">
        <v>240</v>
      </c>
      <c r="H186" s="15"/>
      <c r="I186" s="14"/>
      <c r="J186" s="13" t="n">
        <f aca="false">IF(H186&lt;&gt;"",H186,IF(C186="Slides",F186*Synthèse!$C$3,0))</f>
        <v>0</v>
      </c>
      <c r="K186" s="13" t="n">
        <f aca="false">SUMIFS($J$2:J186,$A$2:A186,A186)</f>
        <v>12</v>
      </c>
      <c r="L186" s="16"/>
    </row>
    <row r="187" customFormat="false" ht="23.85" hidden="false" customHeight="false" outlineLevel="0" collapsed="false">
      <c r="A187" s="23" t="s">
        <v>35</v>
      </c>
      <c r="B187" s="23" t="n">
        <v>7</v>
      </c>
      <c r="C187" s="23" t="s">
        <v>68</v>
      </c>
      <c r="D187" s="23" t="n">
        <v>13</v>
      </c>
      <c r="E187" s="23" t="n">
        <v>13</v>
      </c>
      <c r="F187" s="23"/>
      <c r="G187" s="24" t="s">
        <v>241</v>
      </c>
      <c r="H187" s="15"/>
      <c r="I187" s="24"/>
      <c r="J187" s="23" t="n">
        <f aca="false">IF(H187&lt;&gt;"",H187,IF(C187="Slides",F187*Synthèse!$C$3,0))</f>
        <v>0</v>
      </c>
      <c r="K187" s="23" t="n">
        <f aca="false">SUMIFS($J$2:J187,$A$2:A187,A187)</f>
        <v>12</v>
      </c>
      <c r="L187" s="16"/>
    </row>
    <row r="188" customFormat="false" ht="15" hidden="false" customHeight="false" outlineLevel="0" collapsed="false">
      <c r="A188" s="17" t="s">
        <v>35</v>
      </c>
      <c r="B188" s="17" t="n">
        <v>8</v>
      </c>
      <c r="C188" s="17" t="s">
        <v>56</v>
      </c>
      <c r="D188" s="17" t="n">
        <v>14</v>
      </c>
      <c r="E188" s="17" t="n">
        <v>14</v>
      </c>
      <c r="F188" s="17"/>
      <c r="G188" s="18" t="s">
        <v>242</v>
      </c>
      <c r="H188" s="19"/>
      <c r="I188" s="18"/>
      <c r="J188" s="17" t="n">
        <f aca="false">IF(H188&lt;&gt;"",H188,IF(C188="Slides",F188*Synthèse!$C$3,0))</f>
        <v>0</v>
      </c>
      <c r="K188" s="17" t="n">
        <f aca="false">SUMIFS($J$2:J188,$A$2:A188,A188)</f>
        <v>12</v>
      </c>
      <c r="L188" s="20"/>
    </row>
    <row r="189" customFormat="false" ht="23.85" hidden="false" customHeight="false" outlineLevel="0" collapsed="false">
      <c r="A189" s="13" t="s">
        <v>35</v>
      </c>
      <c r="B189" s="13" t="n">
        <v>9</v>
      </c>
      <c r="C189" s="13" t="s">
        <v>19</v>
      </c>
      <c r="D189" s="13" t="n">
        <v>15</v>
      </c>
      <c r="E189" s="13" t="n">
        <v>18</v>
      </c>
      <c r="F189" s="13" t="n">
        <f aca="false">E189-D189+1</f>
        <v>4</v>
      </c>
      <c r="G189" s="14" t="s">
        <v>243</v>
      </c>
      <c r="H189" s="15"/>
      <c r="I189" s="14"/>
      <c r="J189" s="13" t="n">
        <f aca="false">IF(H189&lt;&gt;"",H189,IF(C189="Slides",F189*Synthèse!$C$3,0))</f>
        <v>0</v>
      </c>
      <c r="K189" s="13" t="n">
        <f aca="false">SUMIFS($J$2:J189,$A$2:A189,A189)</f>
        <v>12</v>
      </c>
      <c r="L189" s="16"/>
    </row>
    <row r="190" customFormat="false" ht="23.85" hidden="false" customHeight="false" outlineLevel="0" collapsed="false">
      <c r="A190" s="23" t="s">
        <v>35</v>
      </c>
      <c r="B190" s="23" t="n">
        <v>10</v>
      </c>
      <c r="C190" s="23" t="s">
        <v>68</v>
      </c>
      <c r="D190" s="23" t="n">
        <v>19</v>
      </c>
      <c r="E190" s="23" t="n">
        <v>19</v>
      </c>
      <c r="F190" s="23"/>
      <c r="G190" s="24" t="s">
        <v>244</v>
      </c>
      <c r="H190" s="15"/>
      <c r="I190" s="24"/>
      <c r="J190" s="23" t="n">
        <f aca="false">IF(H190&lt;&gt;"",H190,IF(C190="Slides",F190*Synthèse!$C$3,0))</f>
        <v>0</v>
      </c>
      <c r="K190" s="23" t="n">
        <f aca="false">SUMIFS($J$2:J190,$A$2:A190,A190)</f>
        <v>12</v>
      </c>
      <c r="L190" s="16"/>
    </row>
    <row r="191" customFormat="false" ht="15" hidden="false" customHeight="false" outlineLevel="0" collapsed="false">
      <c r="A191" s="17" t="s">
        <v>35</v>
      </c>
      <c r="B191" s="17" t="n">
        <v>11</v>
      </c>
      <c r="C191" s="17" t="s">
        <v>56</v>
      </c>
      <c r="D191" s="17" t="n">
        <v>20</v>
      </c>
      <c r="E191" s="17" t="n">
        <v>20</v>
      </c>
      <c r="F191" s="17"/>
      <c r="G191" s="18" t="s">
        <v>245</v>
      </c>
      <c r="H191" s="19"/>
      <c r="I191" s="18"/>
      <c r="J191" s="17" t="n">
        <f aca="false">IF(H191&lt;&gt;"",H191,IF(C191="Slides",F191*Synthèse!$C$3,0))</f>
        <v>0</v>
      </c>
      <c r="K191" s="17" t="n">
        <f aca="false">SUMIFS($J$2:J191,$A$2:A191,A191)</f>
        <v>12</v>
      </c>
      <c r="L191" s="20"/>
    </row>
    <row r="192" customFormat="false" ht="15" hidden="false" customHeight="false" outlineLevel="0" collapsed="false">
      <c r="A192" s="13" t="s">
        <v>35</v>
      </c>
      <c r="B192" s="13" t="n">
        <v>12</v>
      </c>
      <c r="C192" s="13" t="s">
        <v>19</v>
      </c>
      <c r="D192" s="13" t="n">
        <v>21</v>
      </c>
      <c r="E192" s="13" t="n">
        <v>21</v>
      </c>
      <c r="F192" s="13" t="n">
        <f aca="false">E192-D192+1</f>
        <v>1</v>
      </c>
      <c r="G192" s="14" t="s">
        <v>246</v>
      </c>
      <c r="H192" s="15"/>
      <c r="I192" s="14"/>
      <c r="J192" s="13" t="n">
        <f aca="false">IF(H192&lt;&gt;"",H192,IF(C192="Slides",F192*Synthèse!$C$3,0))</f>
        <v>0</v>
      </c>
      <c r="K192" s="13" t="n">
        <f aca="false">SUMIFS($J$2:J192,$A$2:A192,A192)</f>
        <v>12</v>
      </c>
      <c r="L192" s="16"/>
    </row>
    <row r="193" customFormat="false" ht="15" hidden="false" customHeight="false" outlineLevel="0" collapsed="false">
      <c r="A193" s="23" t="s">
        <v>35</v>
      </c>
      <c r="B193" s="23" t="n">
        <v>13</v>
      </c>
      <c r="C193" s="23" t="s">
        <v>68</v>
      </c>
      <c r="D193" s="23" t="n">
        <v>22</v>
      </c>
      <c r="E193" s="23" t="n">
        <v>22</v>
      </c>
      <c r="F193" s="23"/>
      <c r="G193" s="24" t="s">
        <v>247</v>
      </c>
      <c r="H193" s="15"/>
      <c r="I193" s="24"/>
      <c r="J193" s="23" t="n">
        <f aca="false">IF(H193&lt;&gt;"",H193,IF(C193="Slides",F193*Synthèse!$C$3,0))</f>
        <v>0</v>
      </c>
      <c r="K193" s="23" t="n">
        <f aca="false">SUMIFS($J$2:J193,$A$2:A193,A193)</f>
        <v>12</v>
      </c>
      <c r="L193" s="16"/>
    </row>
    <row r="194" customFormat="false" ht="15" hidden="false" customHeight="false" outlineLevel="0" collapsed="false">
      <c r="A194" s="13" t="s">
        <v>35</v>
      </c>
      <c r="B194" s="13" t="n">
        <v>14</v>
      </c>
      <c r="C194" s="13" t="s">
        <v>19</v>
      </c>
      <c r="D194" s="13" t="n">
        <v>23</v>
      </c>
      <c r="E194" s="13" t="n">
        <v>24</v>
      </c>
      <c r="F194" s="13" t="n">
        <f aca="false">E194-D194+1</f>
        <v>2</v>
      </c>
      <c r="G194" s="14" t="s">
        <v>248</v>
      </c>
      <c r="H194" s="15"/>
      <c r="I194" s="14"/>
      <c r="J194" s="13" t="n">
        <f aca="false">IF(H194&lt;&gt;"",H194,IF(C194="Slides",F194*Synthèse!$C$3,0))</f>
        <v>0</v>
      </c>
      <c r="K194" s="13" t="n">
        <f aca="false">SUMIFS($J$2:J194,$A$2:A194,A194)</f>
        <v>12</v>
      </c>
      <c r="L194" s="16"/>
    </row>
    <row r="195" customFormat="false" ht="15" hidden="false" customHeight="false" outlineLevel="0" collapsed="false">
      <c r="A195" s="23" t="s">
        <v>35</v>
      </c>
      <c r="B195" s="23" t="n">
        <v>15</v>
      </c>
      <c r="C195" s="23" t="s">
        <v>68</v>
      </c>
      <c r="D195" s="23" t="n">
        <v>25</v>
      </c>
      <c r="E195" s="23" t="n">
        <v>25</v>
      </c>
      <c r="F195" s="23"/>
      <c r="G195" s="24" t="s">
        <v>249</v>
      </c>
      <c r="H195" s="15"/>
      <c r="I195" s="24"/>
      <c r="J195" s="23" t="n">
        <f aca="false">IF(H195&lt;&gt;"",H195,IF(C195="Slides",F195*Synthèse!$C$3,0))</f>
        <v>0</v>
      </c>
      <c r="K195" s="23" t="n">
        <f aca="false">SUMIFS($J$2:J195,$A$2:A195,A195)</f>
        <v>12</v>
      </c>
      <c r="L195" s="16"/>
    </row>
    <row r="196" customFormat="false" ht="15" hidden="false" customHeight="false" outlineLevel="0" collapsed="false">
      <c r="A196" s="13" t="s">
        <v>35</v>
      </c>
      <c r="B196" s="13" t="n">
        <v>16</v>
      </c>
      <c r="C196" s="13" t="s">
        <v>19</v>
      </c>
      <c r="D196" s="13" t="n">
        <v>26</v>
      </c>
      <c r="E196" s="13" t="n">
        <v>26</v>
      </c>
      <c r="F196" s="13" t="n">
        <f aca="false">E196-D196+1</f>
        <v>1</v>
      </c>
      <c r="G196" s="14" t="s">
        <v>250</v>
      </c>
      <c r="H196" s="15"/>
      <c r="I196" s="14"/>
      <c r="J196" s="13" t="n">
        <f aca="false">IF(H196&lt;&gt;"",H196,IF(C196="Slides",F196*Synthèse!$C$3,0))</f>
        <v>0</v>
      </c>
      <c r="K196" s="13" t="n">
        <f aca="false">SUMIFS($J$2:J196,$A$2:A196,A196)</f>
        <v>12</v>
      </c>
      <c r="L196" s="16"/>
    </row>
    <row r="197" customFormat="false" ht="15" hidden="false" customHeight="false" outlineLevel="0" collapsed="false">
      <c r="A197" s="13" t="s">
        <v>36</v>
      </c>
      <c r="B197" s="13" t="n">
        <v>1</v>
      </c>
      <c r="C197" s="13" t="s">
        <v>19</v>
      </c>
      <c r="D197" s="13" t="n">
        <v>2</v>
      </c>
      <c r="E197" s="13" t="n">
        <v>2</v>
      </c>
      <c r="F197" s="13" t="n">
        <f aca="false">E197-D197+1</f>
        <v>1</v>
      </c>
      <c r="G197" s="14" t="s">
        <v>59</v>
      </c>
      <c r="H197" s="15"/>
      <c r="I197" s="14"/>
      <c r="J197" s="13" t="n">
        <f aca="false">IF(H197&lt;&gt;"",H197,IF(C197="Slides",F197*Synthèse!$C$3,0))</f>
        <v>0</v>
      </c>
      <c r="K197" s="13" t="n">
        <f aca="false">SUMIFS($J$2:J197,$A$2:A197,A197)</f>
        <v>0</v>
      </c>
      <c r="L197" s="16"/>
    </row>
    <row r="198" customFormat="false" ht="15" hidden="false" customHeight="false" outlineLevel="0" collapsed="false">
      <c r="A198" s="17" t="s">
        <v>36</v>
      </c>
      <c r="B198" s="17" t="n">
        <v>2</v>
      </c>
      <c r="C198" s="17" t="s">
        <v>56</v>
      </c>
      <c r="D198" s="17" t="n">
        <v>3</v>
      </c>
      <c r="E198" s="17" t="n">
        <v>3</v>
      </c>
      <c r="F198" s="17"/>
      <c r="G198" s="18" t="s">
        <v>251</v>
      </c>
      <c r="H198" s="19"/>
      <c r="I198" s="18"/>
      <c r="J198" s="17" t="n">
        <f aca="false">IF(H198&lt;&gt;"",H198,IF(C198="Slides",F198*Synthèse!$C$3,0))</f>
        <v>0</v>
      </c>
      <c r="K198" s="17" t="n">
        <f aca="false">SUMIFS($J$2:J198,$A$2:A198,A198)</f>
        <v>0</v>
      </c>
      <c r="L198" s="20"/>
    </row>
    <row r="199" customFormat="false" ht="15" hidden="false" customHeight="false" outlineLevel="0" collapsed="false">
      <c r="A199" s="13" t="s">
        <v>36</v>
      </c>
      <c r="B199" s="13" t="n">
        <v>3</v>
      </c>
      <c r="C199" s="13" t="s">
        <v>19</v>
      </c>
      <c r="D199" s="13" t="n">
        <v>4</v>
      </c>
      <c r="E199" s="13" t="n">
        <v>5</v>
      </c>
      <c r="F199" s="13" t="n">
        <f aca="false">E199-D199+1</f>
        <v>2</v>
      </c>
      <c r="G199" s="14" t="s">
        <v>252</v>
      </c>
      <c r="H199" s="15"/>
      <c r="I199" s="14"/>
      <c r="J199" s="13" t="n">
        <f aca="false">IF(H199&lt;&gt;"",H199,IF(C199="Slides",F199*Synthèse!$C$3,0))</f>
        <v>0</v>
      </c>
      <c r="K199" s="13" t="n">
        <f aca="false">SUMIFS($J$2:J199,$A$2:A199,A199)</f>
        <v>0</v>
      </c>
      <c r="L199" s="16"/>
    </row>
    <row r="200" customFormat="false" ht="15" hidden="false" customHeight="false" outlineLevel="0" collapsed="false">
      <c r="A200" s="21" t="s">
        <v>36</v>
      </c>
      <c r="B200" s="21" t="n">
        <v>4</v>
      </c>
      <c r="C200" s="21" t="s">
        <v>64</v>
      </c>
      <c r="D200" s="21" t="n">
        <v>6</v>
      </c>
      <c r="E200" s="21" t="n">
        <v>6</v>
      </c>
      <c r="F200" s="21"/>
      <c r="G200" s="22" t="s">
        <v>253</v>
      </c>
      <c r="H200" s="15" t="n">
        <v>15</v>
      </c>
      <c r="I200" s="22" t="s">
        <v>254</v>
      </c>
      <c r="J200" s="21" t="n">
        <f aca="false">IF(H200&lt;&gt;"",H200,IF(C200="Slides",F200*Synthèse!$C$3,0))</f>
        <v>15</v>
      </c>
      <c r="K200" s="21" t="n">
        <f aca="false">SUMIFS($J$2:J200,$A$2:A200,A200)</f>
        <v>15</v>
      </c>
      <c r="L200" s="16"/>
    </row>
    <row r="201" customFormat="false" ht="15" hidden="false" customHeight="false" outlineLevel="0" collapsed="false">
      <c r="A201" s="17" t="s">
        <v>36</v>
      </c>
      <c r="B201" s="17" t="n">
        <v>5</v>
      </c>
      <c r="C201" s="17" t="s">
        <v>56</v>
      </c>
      <c r="D201" s="17" t="n">
        <v>7</v>
      </c>
      <c r="E201" s="17" t="n">
        <v>7</v>
      </c>
      <c r="F201" s="17"/>
      <c r="G201" s="18" t="s">
        <v>255</v>
      </c>
      <c r="H201" s="19"/>
      <c r="I201" s="18"/>
      <c r="J201" s="17" t="n">
        <f aca="false">IF(H201&lt;&gt;"",H201,IF(C201="Slides",F201*Synthèse!$C$3,0))</f>
        <v>0</v>
      </c>
      <c r="K201" s="17" t="n">
        <f aca="false">SUMIFS($J$2:J201,$A$2:A201,A201)</f>
        <v>15</v>
      </c>
      <c r="L201" s="20"/>
    </row>
    <row r="202" customFormat="false" ht="23.85" hidden="false" customHeight="false" outlineLevel="0" collapsed="false">
      <c r="A202" s="13" t="s">
        <v>36</v>
      </c>
      <c r="B202" s="13" t="n">
        <v>6</v>
      </c>
      <c r="C202" s="13" t="s">
        <v>19</v>
      </c>
      <c r="D202" s="13" t="n">
        <v>8</v>
      </c>
      <c r="E202" s="13" t="n">
        <v>11</v>
      </c>
      <c r="F202" s="13" t="n">
        <f aca="false">E202-D202+1</f>
        <v>4</v>
      </c>
      <c r="G202" s="14" t="s">
        <v>256</v>
      </c>
      <c r="H202" s="15"/>
      <c r="I202" s="14"/>
      <c r="J202" s="13" t="n">
        <f aca="false">IF(H202&lt;&gt;"",H202,IF(C202="Slides",F202*Synthèse!$C$3,0))</f>
        <v>0</v>
      </c>
      <c r="K202" s="13" t="n">
        <f aca="false">SUMIFS($J$2:J202,$A$2:A202,A202)</f>
        <v>15</v>
      </c>
      <c r="L202" s="16"/>
    </row>
    <row r="203" customFormat="false" ht="23.85" hidden="false" customHeight="false" outlineLevel="0" collapsed="false">
      <c r="A203" s="23" t="s">
        <v>36</v>
      </c>
      <c r="B203" s="23" t="n">
        <v>7</v>
      </c>
      <c r="C203" s="23" t="s">
        <v>68</v>
      </c>
      <c r="D203" s="23" t="n">
        <v>12</v>
      </c>
      <c r="E203" s="23" t="n">
        <v>12</v>
      </c>
      <c r="F203" s="23"/>
      <c r="G203" s="24" t="s">
        <v>257</v>
      </c>
      <c r="H203" s="15"/>
      <c r="I203" s="24"/>
      <c r="J203" s="23" t="n">
        <f aca="false">IF(H203&lt;&gt;"",H203,IF(C203="Slides",F203*Synthèse!$C$3,0))</f>
        <v>0</v>
      </c>
      <c r="K203" s="23" t="n">
        <f aca="false">SUMIFS($J$2:J203,$A$2:A203,A203)</f>
        <v>15</v>
      </c>
      <c r="L203" s="16"/>
    </row>
    <row r="204" customFormat="false" ht="15" hidden="false" customHeight="false" outlineLevel="0" collapsed="false">
      <c r="A204" s="17" t="s">
        <v>36</v>
      </c>
      <c r="B204" s="17" t="n">
        <v>8</v>
      </c>
      <c r="C204" s="17" t="s">
        <v>56</v>
      </c>
      <c r="D204" s="17" t="n">
        <v>13</v>
      </c>
      <c r="E204" s="17" t="n">
        <v>13</v>
      </c>
      <c r="F204" s="17"/>
      <c r="G204" s="18" t="s">
        <v>258</v>
      </c>
      <c r="H204" s="19"/>
      <c r="I204" s="18"/>
      <c r="J204" s="17" t="n">
        <f aca="false">IF(H204&lt;&gt;"",H204,IF(C204="Slides",F204*Synthèse!$C$3,0))</f>
        <v>0</v>
      </c>
      <c r="K204" s="17" t="n">
        <f aca="false">SUMIFS($J$2:J204,$A$2:A204,A204)</f>
        <v>15</v>
      </c>
      <c r="L204" s="20"/>
    </row>
    <row r="205" customFormat="false" ht="23.85" hidden="false" customHeight="false" outlineLevel="0" collapsed="false">
      <c r="A205" s="13" t="s">
        <v>36</v>
      </c>
      <c r="B205" s="13" t="n">
        <v>9</v>
      </c>
      <c r="C205" s="13" t="s">
        <v>19</v>
      </c>
      <c r="D205" s="13" t="n">
        <v>14</v>
      </c>
      <c r="E205" s="13" t="n">
        <v>17</v>
      </c>
      <c r="F205" s="13" t="n">
        <f aca="false">E205-D205+1</f>
        <v>4</v>
      </c>
      <c r="G205" s="14" t="s">
        <v>259</v>
      </c>
      <c r="H205" s="15"/>
      <c r="I205" s="14"/>
      <c r="J205" s="13" t="n">
        <f aca="false">IF(H205&lt;&gt;"",H205,IF(C205="Slides",F205*Synthèse!$C$3,0))</f>
        <v>0</v>
      </c>
      <c r="K205" s="13" t="n">
        <f aca="false">SUMIFS($J$2:J205,$A$2:A205,A205)</f>
        <v>15</v>
      </c>
      <c r="L205" s="16"/>
    </row>
    <row r="206" customFormat="false" ht="23.85" hidden="false" customHeight="false" outlineLevel="0" collapsed="false">
      <c r="A206" s="23" t="s">
        <v>36</v>
      </c>
      <c r="B206" s="23" t="n">
        <v>10</v>
      </c>
      <c r="C206" s="23" t="s">
        <v>68</v>
      </c>
      <c r="D206" s="23" t="n">
        <v>18</v>
      </c>
      <c r="E206" s="23" t="n">
        <v>18</v>
      </c>
      <c r="F206" s="23"/>
      <c r="G206" s="24" t="s">
        <v>260</v>
      </c>
      <c r="H206" s="15"/>
      <c r="I206" s="24"/>
      <c r="J206" s="23" t="n">
        <f aca="false">IF(H206&lt;&gt;"",H206,IF(C206="Slides",F206*Synthèse!$C$3,0))</f>
        <v>0</v>
      </c>
      <c r="K206" s="23" t="n">
        <f aca="false">SUMIFS($J$2:J206,$A$2:A206,A206)</f>
        <v>15</v>
      </c>
      <c r="L206" s="16"/>
    </row>
    <row r="207" customFormat="false" ht="15" hidden="false" customHeight="false" outlineLevel="0" collapsed="false">
      <c r="A207" s="17" t="s">
        <v>36</v>
      </c>
      <c r="B207" s="17" t="n">
        <v>11</v>
      </c>
      <c r="C207" s="17" t="s">
        <v>56</v>
      </c>
      <c r="D207" s="17" t="n">
        <v>19</v>
      </c>
      <c r="E207" s="17" t="n">
        <v>19</v>
      </c>
      <c r="F207" s="17"/>
      <c r="G207" s="18" t="s">
        <v>261</v>
      </c>
      <c r="H207" s="19"/>
      <c r="I207" s="18"/>
      <c r="J207" s="17" t="n">
        <f aca="false">IF(H207&lt;&gt;"",H207,IF(C207="Slides",F207*Synthèse!$C$3,0))</f>
        <v>0</v>
      </c>
      <c r="K207" s="17" t="n">
        <f aca="false">SUMIFS($J$2:J207,$A$2:A207,A207)</f>
        <v>15</v>
      </c>
      <c r="L207" s="20"/>
    </row>
    <row r="208" customFormat="false" ht="35.05" hidden="false" customHeight="false" outlineLevel="0" collapsed="false">
      <c r="A208" s="13" t="s">
        <v>36</v>
      </c>
      <c r="B208" s="13" t="n">
        <v>12</v>
      </c>
      <c r="C208" s="13" t="s">
        <v>19</v>
      </c>
      <c r="D208" s="13" t="n">
        <v>20</v>
      </c>
      <c r="E208" s="13" t="n">
        <v>26</v>
      </c>
      <c r="F208" s="13" t="n">
        <f aca="false">E208-D208+1</f>
        <v>7</v>
      </c>
      <c r="G208" s="14" t="s">
        <v>262</v>
      </c>
      <c r="H208" s="15"/>
      <c r="I208" s="14"/>
      <c r="J208" s="13" t="n">
        <f aca="false">IF(H208&lt;&gt;"",H208,IF(C208="Slides",F208*Synthèse!$C$3,0))</f>
        <v>0</v>
      </c>
      <c r="K208" s="13" t="n">
        <f aca="false">SUMIFS($J$2:J208,$A$2:A208,A208)</f>
        <v>15</v>
      </c>
      <c r="L208" s="16"/>
    </row>
    <row r="209" customFormat="false" ht="23.85" hidden="false" customHeight="false" outlineLevel="0" collapsed="false">
      <c r="A209" s="23" t="s">
        <v>36</v>
      </c>
      <c r="B209" s="23" t="n">
        <v>13</v>
      </c>
      <c r="C209" s="23" t="s">
        <v>68</v>
      </c>
      <c r="D209" s="23" t="n">
        <v>27</v>
      </c>
      <c r="E209" s="23" t="n">
        <v>27</v>
      </c>
      <c r="F209" s="23"/>
      <c r="G209" s="24" t="s">
        <v>263</v>
      </c>
      <c r="H209" s="15"/>
      <c r="I209" s="24"/>
      <c r="J209" s="23" t="n">
        <f aca="false">IF(H209&lt;&gt;"",H209,IF(C209="Slides",F209*Synthèse!$C$3,0))</f>
        <v>0</v>
      </c>
      <c r="K209" s="23" t="n">
        <f aca="false">SUMIFS($J$2:J209,$A$2:A209,A209)</f>
        <v>15</v>
      </c>
      <c r="L209" s="16"/>
    </row>
    <row r="210" customFormat="false" ht="15" hidden="false" customHeight="false" outlineLevel="0" collapsed="false">
      <c r="A210" s="17" t="s">
        <v>36</v>
      </c>
      <c r="B210" s="17" t="n">
        <v>14</v>
      </c>
      <c r="C210" s="17" t="s">
        <v>56</v>
      </c>
      <c r="D210" s="17" t="n">
        <v>28</v>
      </c>
      <c r="E210" s="17" t="n">
        <v>28</v>
      </c>
      <c r="F210" s="17"/>
      <c r="G210" s="18" t="s">
        <v>264</v>
      </c>
      <c r="H210" s="19"/>
      <c r="I210" s="18"/>
      <c r="J210" s="17" t="n">
        <f aca="false">IF(H210&lt;&gt;"",H210,IF(C210="Slides",F210*Synthèse!$C$3,0))</f>
        <v>0</v>
      </c>
      <c r="K210" s="17" t="n">
        <f aca="false">SUMIFS($J$2:J210,$A$2:A210,A210)</f>
        <v>15</v>
      </c>
      <c r="L210" s="20"/>
    </row>
    <row r="211" customFormat="false" ht="35.05" hidden="false" customHeight="false" outlineLevel="0" collapsed="false">
      <c r="A211" s="13" t="s">
        <v>36</v>
      </c>
      <c r="B211" s="13" t="n">
        <v>15</v>
      </c>
      <c r="C211" s="13" t="s">
        <v>19</v>
      </c>
      <c r="D211" s="13" t="n">
        <v>29</v>
      </c>
      <c r="E211" s="13" t="n">
        <v>34</v>
      </c>
      <c r="F211" s="13" t="n">
        <f aca="false">E211-D211+1</f>
        <v>6</v>
      </c>
      <c r="G211" s="14" t="s">
        <v>265</v>
      </c>
      <c r="H211" s="15"/>
      <c r="I211" s="14"/>
      <c r="J211" s="13" t="n">
        <f aca="false">IF(H211&lt;&gt;"",H211,IF(C211="Slides",F211*Synthèse!$C$3,0))</f>
        <v>0</v>
      </c>
      <c r="K211" s="13" t="n">
        <f aca="false">SUMIFS($J$2:J211,$A$2:A211,A211)</f>
        <v>15</v>
      </c>
      <c r="L211" s="16"/>
    </row>
    <row r="212" customFormat="false" ht="15" hidden="false" customHeight="false" outlineLevel="0" collapsed="false">
      <c r="A212" s="13" t="s">
        <v>37</v>
      </c>
      <c r="B212" s="13" t="n">
        <v>1</v>
      </c>
      <c r="C212" s="13" t="s">
        <v>19</v>
      </c>
      <c r="D212" s="13" t="n">
        <v>2</v>
      </c>
      <c r="E212" s="13" t="n">
        <v>2</v>
      </c>
      <c r="F212" s="13" t="n">
        <f aca="false">E212-D212+1</f>
        <v>1</v>
      </c>
      <c r="G212" s="14" t="s">
        <v>59</v>
      </c>
      <c r="H212" s="15"/>
      <c r="I212" s="14"/>
      <c r="J212" s="13" t="n">
        <f aca="false">IF(H212&lt;&gt;"",H212,IF(C212="Slides",F212*Synthèse!$C$3,0))</f>
        <v>0</v>
      </c>
      <c r="K212" s="13" t="n">
        <f aca="false">SUMIFS($J$2:J212,$A$2:A212,A212)</f>
        <v>0</v>
      </c>
      <c r="L212" s="16"/>
    </row>
    <row r="213" customFormat="false" ht="15" hidden="false" customHeight="false" outlineLevel="0" collapsed="false">
      <c r="A213" s="17" t="s">
        <v>37</v>
      </c>
      <c r="B213" s="17" t="n">
        <v>2</v>
      </c>
      <c r="C213" s="17" t="s">
        <v>56</v>
      </c>
      <c r="D213" s="17" t="n">
        <v>3</v>
      </c>
      <c r="E213" s="17" t="n">
        <v>3</v>
      </c>
      <c r="F213" s="17"/>
      <c r="G213" s="18" t="s">
        <v>266</v>
      </c>
      <c r="H213" s="19"/>
      <c r="I213" s="18"/>
      <c r="J213" s="17" t="n">
        <f aca="false">IF(H213&lt;&gt;"",H213,IF(C213="Slides",F213*Synthèse!$C$3,0))</f>
        <v>0</v>
      </c>
      <c r="K213" s="17" t="n">
        <f aca="false">SUMIFS($J$2:J213,$A$2:A213,A213)</f>
        <v>0</v>
      </c>
      <c r="L213" s="20"/>
    </row>
    <row r="214" customFormat="false" ht="15" hidden="false" customHeight="false" outlineLevel="0" collapsed="false">
      <c r="A214" s="13" t="s">
        <v>37</v>
      </c>
      <c r="B214" s="13" t="n">
        <v>3</v>
      </c>
      <c r="C214" s="13" t="s">
        <v>19</v>
      </c>
      <c r="D214" s="13" t="n">
        <v>4</v>
      </c>
      <c r="E214" s="13" t="n">
        <v>4</v>
      </c>
      <c r="F214" s="13" t="n">
        <f aca="false">E214-D214+1</f>
        <v>1</v>
      </c>
      <c r="G214" s="14" t="s">
        <v>267</v>
      </c>
      <c r="H214" s="15"/>
      <c r="I214" s="14"/>
      <c r="J214" s="13" t="n">
        <f aca="false">IF(H214&lt;&gt;"",H214,IF(C214="Slides",F214*Synthèse!$C$3,0))</f>
        <v>0</v>
      </c>
      <c r="K214" s="13" t="n">
        <f aca="false">SUMIFS($J$2:J214,$A$2:A214,A214)</f>
        <v>0</v>
      </c>
      <c r="L214" s="16"/>
    </row>
    <row r="215" customFormat="false" ht="15" hidden="false" customHeight="false" outlineLevel="0" collapsed="false">
      <c r="A215" s="21" t="s">
        <v>37</v>
      </c>
      <c r="B215" s="21" t="n">
        <v>4</v>
      </c>
      <c r="C215" s="21" t="s">
        <v>64</v>
      </c>
      <c r="D215" s="21" t="n">
        <v>5</v>
      </c>
      <c r="E215" s="21" t="n">
        <v>5</v>
      </c>
      <c r="F215" s="21"/>
      <c r="G215" s="22" t="s">
        <v>268</v>
      </c>
      <c r="H215" s="15" t="n">
        <v>12</v>
      </c>
      <c r="I215" s="22" t="s">
        <v>93</v>
      </c>
      <c r="J215" s="21" t="n">
        <f aca="false">IF(H215&lt;&gt;"",H215,IF(C215="Slides",F215*Synthèse!$C$3,0))</f>
        <v>12</v>
      </c>
      <c r="K215" s="21" t="n">
        <f aca="false">SUMIFS($J$2:J215,$A$2:A215,A215)</f>
        <v>12</v>
      </c>
      <c r="L215" s="16"/>
    </row>
    <row r="216" customFormat="false" ht="15" hidden="false" customHeight="false" outlineLevel="0" collapsed="false">
      <c r="A216" s="13" t="s">
        <v>37</v>
      </c>
      <c r="B216" s="13" t="n">
        <v>5</v>
      </c>
      <c r="C216" s="13" t="s">
        <v>19</v>
      </c>
      <c r="D216" s="13" t="n">
        <v>6</v>
      </c>
      <c r="E216" s="13" t="n">
        <v>7</v>
      </c>
      <c r="F216" s="13" t="n">
        <f aca="false">E216-D216+1</f>
        <v>2</v>
      </c>
      <c r="G216" s="14" t="s">
        <v>269</v>
      </c>
      <c r="H216" s="15"/>
      <c r="I216" s="14"/>
      <c r="J216" s="13" t="n">
        <f aca="false">IF(H216&lt;&gt;"",H216,IF(C216="Slides",F216*Synthèse!$C$3,0))</f>
        <v>0</v>
      </c>
      <c r="K216" s="13" t="n">
        <f aca="false">SUMIFS($J$2:J216,$A$2:A216,A216)</f>
        <v>12</v>
      </c>
      <c r="L216" s="16"/>
    </row>
    <row r="217" customFormat="false" ht="15" hidden="false" customHeight="false" outlineLevel="0" collapsed="false">
      <c r="A217" s="23" t="s">
        <v>37</v>
      </c>
      <c r="B217" s="23" t="n">
        <v>6</v>
      </c>
      <c r="C217" s="23" t="s">
        <v>68</v>
      </c>
      <c r="D217" s="23" t="n">
        <v>8</v>
      </c>
      <c r="E217" s="23" t="n">
        <v>8</v>
      </c>
      <c r="F217" s="23"/>
      <c r="G217" s="24" t="s">
        <v>270</v>
      </c>
      <c r="H217" s="15"/>
      <c r="I217" s="24"/>
      <c r="J217" s="23" t="n">
        <f aca="false">IF(H217&lt;&gt;"",H217,IF(C217="Slides",F217*Synthèse!$C$3,0))</f>
        <v>0</v>
      </c>
      <c r="K217" s="23" t="n">
        <f aca="false">SUMIFS($J$2:J217,$A$2:A217,A217)</f>
        <v>12</v>
      </c>
      <c r="L217" s="16"/>
    </row>
    <row r="218" customFormat="false" ht="15" hidden="false" customHeight="false" outlineLevel="0" collapsed="false">
      <c r="A218" s="17" t="s">
        <v>37</v>
      </c>
      <c r="B218" s="17" t="n">
        <v>7</v>
      </c>
      <c r="C218" s="17" t="s">
        <v>56</v>
      </c>
      <c r="D218" s="17" t="n">
        <v>9</v>
      </c>
      <c r="E218" s="17" t="n">
        <v>9</v>
      </c>
      <c r="F218" s="17"/>
      <c r="G218" s="18" t="s">
        <v>271</v>
      </c>
      <c r="H218" s="19"/>
      <c r="I218" s="18"/>
      <c r="J218" s="17" t="n">
        <f aca="false">IF(H218&lt;&gt;"",H218,IF(C218="Slides",F218*Synthèse!$C$3,0))</f>
        <v>0</v>
      </c>
      <c r="K218" s="17" t="n">
        <f aca="false">SUMIFS($J$2:J218,$A$2:A218,A218)</f>
        <v>12</v>
      </c>
      <c r="L218" s="20"/>
    </row>
    <row r="219" customFormat="false" ht="15" hidden="false" customHeight="false" outlineLevel="0" collapsed="false">
      <c r="A219" s="13" t="s">
        <v>37</v>
      </c>
      <c r="B219" s="13" t="n">
        <v>8</v>
      </c>
      <c r="C219" s="13" t="s">
        <v>19</v>
      </c>
      <c r="D219" s="13" t="n">
        <v>10</v>
      </c>
      <c r="E219" s="13" t="n">
        <v>11</v>
      </c>
      <c r="F219" s="13" t="n">
        <f aca="false">E219-D219+1</f>
        <v>2</v>
      </c>
      <c r="G219" s="14" t="s">
        <v>272</v>
      </c>
      <c r="H219" s="15"/>
      <c r="I219" s="14"/>
      <c r="J219" s="13" t="n">
        <f aca="false">IF(H219&lt;&gt;"",H219,IF(C219="Slides",F219*Synthèse!$C$3,0))</f>
        <v>0</v>
      </c>
      <c r="K219" s="13" t="n">
        <f aca="false">SUMIFS($J$2:J219,$A$2:A219,A219)</f>
        <v>12</v>
      </c>
      <c r="L219" s="16"/>
    </row>
    <row r="220" customFormat="false" ht="15" hidden="false" customHeight="false" outlineLevel="0" collapsed="false">
      <c r="A220" s="23" t="s">
        <v>37</v>
      </c>
      <c r="B220" s="23" t="n">
        <v>9</v>
      </c>
      <c r="C220" s="23" t="s">
        <v>68</v>
      </c>
      <c r="D220" s="23" t="n">
        <v>12</v>
      </c>
      <c r="E220" s="23" t="n">
        <v>12</v>
      </c>
      <c r="F220" s="23"/>
      <c r="G220" s="24" t="s">
        <v>273</v>
      </c>
      <c r="H220" s="15"/>
      <c r="I220" s="24"/>
      <c r="J220" s="23" t="n">
        <f aca="false">IF(H220&lt;&gt;"",H220,IF(C220="Slides",F220*Synthèse!$C$3,0))</f>
        <v>0</v>
      </c>
      <c r="K220" s="23" t="n">
        <f aca="false">SUMIFS($J$2:J220,$A$2:A220,A220)</f>
        <v>12</v>
      </c>
      <c r="L220" s="16"/>
    </row>
    <row r="221" customFormat="false" ht="15" hidden="false" customHeight="false" outlineLevel="0" collapsed="false">
      <c r="A221" s="17" t="s">
        <v>37</v>
      </c>
      <c r="B221" s="17" t="n">
        <v>10</v>
      </c>
      <c r="C221" s="17" t="s">
        <v>56</v>
      </c>
      <c r="D221" s="17" t="n">
        <v>13</v>
      </c>
      <c r="E221" s="17" t="n">
        <v>13</v>
      </c>
      <c r="F221" s="17"/>
      <c r="G221" s="18" t="s">
        <v>274</v>
      </c>
      <c r="H221" s="19"/>
      <c r="I221" s="18"/>
      <c r="J221" s="17" t="n">
        <f aca="false">IF(H221&lt;&gt;"",H221,IF(C221="Slides",F221*Synthèse!$C$3,0))</f>
        <v>0</v>
      </c>
      <c r="K221" s="17" t="n">
        <f aca="false">SUMIFS($J$2:J221,$A$2:A221,A221)</f>
        <v>12</v>
      </c>
      <c r="L221" s="20"/>
    </row>
    <row r="222" customFormat="false" ht="23.85" hidden="false" customHeight="false" outlineLevel="0" collapsed="false">
      <c r="A222" s="13" t="s">
        <v>37</v>
      </c>
      <c r="B222" s="13" t="n">
        <v>11</v>
      </c>
      <c r="C222" s="13" t="s">
        <v>19</v>
      </c>
      <c r="D222" s="13" t="n">
        <v>14</v>
      </c>
      <c r="E222" s="13" t="n">
        <v>17</v>
      </c>
      <c r="F222" s="13" t="n">
        <f aca="false">E222-D222+1</f>
        <v>4</v>
      </c>
      <c r="G222" s="14" t="s">
        <v>275</v>
      </c>
      <c r="H222" s="15"/>
      <c r="I222" s="14"/>
      <c r="J222" s="13" t="n">
        <f aca="false">IF(H222&lt;&gt;"",H222,IF(C222="Slides",F222*Synthèse!$C$3,0))</f>
        <v>0</v>
      </c>
      <c r="K222" s="13" t="n">
        <f aca="false">SUMIFS($J$2:J222,$A$2:A222,A222)</f>
        <v>12</v>
      </c>
      <c r="L222" s="16"/>
    </row>
    <row r="223" customFormat="false" ht="15" hidden="false" customHeight="false" outlineLevel="0" collapsed="false">
      <c r="A223" s="17" t="s">
        <v>37</v>
      </c>
      <c r="B223" s="17" t="n">
        <v>12</v>
      </c>
      <c r="C223" s="17" t="s">
        <v>56</v>
      </c>
      <c r="D223" s="17" t="n">
        <v>18</v>
      </c>
      <c r="E223" s="17" t="n">
        <v>18</v>
      </c>
      <c r="F223" s="17"/>
      <c r="G223" s="18" t="s">
        <v>276</v>
      </c>
      <c r="H223" s="19"/>
      <c r="I223" s="18"/>
      <c r="J223" s="17" t="n">
        <f aca="false">IF(H223&lt;&gt;"",H223,IF(C223="Slides",F223*Synthèse!$C$3,0))</f>
        <v>0</v>
      </c>
      <c r="K223" s="17" t="n">
        <f aca="false">SUMIFS($J$2:J223,$A$2:A223,A223)</f>
        <v>12</v>
      </c>
      <c r="L223" s="20"/>
    </row>
    <row r="224" customFormat="false" ht="15" hidden="false" customHeight="false" outlineLevel="0" collapsed="false">
      <c r="A224" s="13" t="s">
        <v>37</v>
      </c>
      <c r="B224" s="13" t="n">
        <v>13</v>
      </c>
      <c r="C224" s="13" t="s">
        <v>19</v>
      </c>
      <c r="D224" s="13" t="n">
        <v>19</v>
      </c>
      <c r="E224" s="13" t="n">
        <v>19</v>
      </c>
      <c r="F224" s="13" t="n">
        <f aca="false">E224-D224+1</f>
        <v>1</v>
      </c>
      <c r="G224" s="14" t="s">
        <v>277</v>
      </c>
      <c r="H224" s="15"/>
      <c r="I224" s="14"/>
      <c r="J224" s="13" t="n">
        <f aca="false">IF(H224&lt;&gt;"",H224,IF(C224="Slides",F224*Synthèse!$C$3,0))</f>
        <v>0</v>
      </c>
      <c r="K224" s="13" t="n">
        <f aca="false">SUMIFS($J$2:J224,$A$2:A224,A224)</f>
        <v>12</v>
      </c>
      <c r="L224" s="16"/>
    </row>
    <row r="225" customFormat="false" ht="15" hidden="false" customHeight="false" outlineLevel="0" collapsed="false">
      <c r="A225" s="23" t="s">
        <v>37</v>
      </c>
      <c r="B225" s="23" t="n">
        <v>14</v>
      </c>
      <c r="C225" s="23" t="s">
        <v>68</v>
      </c>
      <c r="D225" s="23" t="n">
        <v>20</v>
      </c>
      <c r="E225" s="23" t="n">
        <v>20</v>
      </c>
      <c r="F225" s="23"/>
      <c r="G225" s="24" t="s">
        <v>278</v>
      </c>
      <c r="H225" s="15"/>
      <c r="I225" s="24"/>
      <c r="J225" s="23" t="n">
        <f aca="false">IF(H225&lt;&gt;"",H225,IF(C225="Slides",F225*Synthèse!$C$3,0))</f>
        <v>0</v>
      </c>
      <c r="K225" s="23" t="n">
        <f aca="false">SUMIFS($J$2:J225,$A$2:A225,A225)</f>
        <v>12</v>
      </c>
      <c r="L225" s="16"/>
    </row>
    <row r="226" customFormat="false" ht="15" hidden="false" customHeight="false" outlineLevel="0" collapsed="false">
      <c r="A226" s="13" t="s">
        <v>37</v>
      </c>
      <c r="B226" s="13" t="n">
        <v>15</v>
      </c>
      <c r="C226" s="13" t="s">
        <v>19</v>
      </c>
      <c r="D226" s="13" t="n">
        <v>21</v>
      </c>
      <c r="E226" s="13" t="n">
        <v>23</v>
      </c>
      <c r="F226" s="13" t="n">
        <f aca="false">E226-D226+1</f>
        <v>3</v>
      </c>
      <c r="G226" s="14" t="s">
        <v>279</v>
      </c>
      <c r="H226" s="15"/>
      <c r="I226" s="14"/>
      <c r="J226" s="13" t="n">
        <f aca="false">IF(H226&lt;&gt;"",H226,IF(C226="Slides",F226*Synthèse!$C$3,0))</f>
        <v>0</v>
      </c>
      <c r="K226" s="13" t="n">
        <f aca="false">SUMIFS($J$2:J226,$A$2:A226,A226)</f>
        <v>12</v>
      </c>
      <c r="L226" s="16"/>
    </row>
    <row r="227" customFormat="false" ht="15" hidden="false" customHeight="false" outlineLevel="0" collapsed="false">
      <c r="A227" s="17" t="s">
        <v>37</v>
      </c>
      <c r="B227" s="17" t="n">
        <v>16</v>
      </c>
      <c r="C227" s="17" t="s">
        <v>56</v>
      </c>
      <c r="D227" s="17" t="n">
        <v>24</v>
      </c>
      <c r="E227" s="17" t="n">
        <v>24</v>
      </c>
      <c r="F227" s="17"/>
      <c r="G227" s="18" t="s">
        <v>280</v>
      </c>
      <c r="H227" s="19"/>
      <c r="I227" s="18"/>
      <c r="J227" s="17" t="n">
        <f aca="false">IF(H227&lt;&gt;"",H227,IF(C227="Slides",F227*Synthèse!$C$3,0))</f>
        <v>0</v>
      </c>
      <c r="K227" s="17" t="n">
        <f aca="false">SUMIFS($J$2:J227,$A$2:A227,A227)</f>
        <v>12</v>
      </c>
      <c r="L227" s="20"/>
    </row>
    <row r="228" customFormat="false" ht="15" hidden="false" customHeight="false" outlineLevel="0" collapsed="false">
      <c r="A228" s="13" t="s">
        <v>37</v>
      </c>
      <c r="B228" s="13" t="n">
        <v>17</v>
      </c>
      <c r="C228" s="13" t="s">
        <v>19</v>
      </c>
      <c r="D228" s="13" t="n">
        <v>25</v>
      </c>
      <c r="E228" s="13" t="n">
        <v>26</v>
      </c>
      <c r="F228" s="13" t="n">
        <f aca="false">E228-D228+1</f>
        <v>2</v>
      </c>
      <c r="G228" s="14" t="s">
        <v>281</v>
      </c>
      <c r="H228" s="15"/>
      <c r="I228" s="14"/>
      <c r="J228" s="13" t="n">
        <f aca="false">IF(H228&lt;&gt;"",H228,IF(C228="Slides",F228*Synthèse!$C$3,0))</f>
        <v>0</v>
      </c>
      <c r="K228" s="13" t="n">
        <f aca="false">SUMIFS($J$2:J228,$A$2:A228,A228)</f>
        <v>12</v>
      </c>
      <c r="L228" s="16"/>
    </row>
    <row r="229" customFormat="false" ht="15" hidden="false" customHeight="false" outlineLevel="0" collapsed="false">
      <c r="A229" s="23" t="s">
        <v>37</v>
      </c>
      <c r="B229" s="23" t="n">
        <v>18</v>
      </c>
      <c r="C229" s="23" t="s">
        <v>68</v>
      </c>
      <c r="D229" s="23" t="n">
        <v>27</v>
      </c>
      <c r="E229" s="23" t="n">
        <v>27</v>
      </c>
      <c r="F229" s="23"/>
      <c r="G229" s="24" t="s">
        <v>282</v>
      </c>
      <c r="H229" s="15"/>
      <c r="I229" s="24"/>
      <c r="J229" s="23" t="n">
        <f aca="false">IF(H229&lt;&gt;"",H229,IF(C229="Slides",F229*Synthèse!$C$3,0))</f>
        <v>0</v>
      </c>
      <c r="K229" s="23" t="n">
        <f aca="false">SUMIFS($J$2:J229,$A$2:A229,A229)</f>
        <v>12</v>
      </c>
      <c r="L229" s="16"/>
    </row>
    <row r="230" customFormat="false" ht="15" hidden="false" customHeight="false" outlineLevel="0" collapsed="false">
      <c r="A230" s="17" t="s">
        <v>37</v>
      </c>
      <c r="B230" s="17" t="n">
        <v>19</v>
      </c>
      <c r="C230" s="17" t="s">
        <v>56</v>
      </c>
      <c r="D230" s="17" t="n">
        <v>28</v>
      </c>
      <c r="E230" s="17" t="n">
        <v>28</v>
      </c>
      <c r="F230" s="17"/>
      <c r="G230" s="18" t="s">
        <v>283</v>
      </c>
      <c r="H230" s="19"/>
      <c r="I230" s="18"/>
      <c r="J230" s="17" t="n">
        <f aca="false">IF(H230&lt;&gt;"",H230,IF(C230="Slides",F230*Synthèse!$C$3,0))</f>
        <v>0</v>
      </c>
      <c r="K230" s="17" t="n">
        <f aca="false">SUMIFS($J$2:J230,$A$2:A230,A230)</f>
        <v>12</v>
      </c>
      <c r="L230" s="20"/>
    </row>
    <row r="231" customFormat="false" ht="15" hidden="false" customHeight="false" outlineLevel="0" collapsed="false">
      <c r="A231" s="13" t="s">
        <v>37</v>
      </c>
      <c r="B231" s="13" t="n">
        <v>20</v>
      </c>
      <c r="C231" s="13" t="s">
        <v>19</v>
      </c>
      <c r="D231" s="13" t="n">
        <v>29</v>
      </c>
      <c r="E231" s="13" t="n">
        <v>30</v>
      </c>
      <c r="F231" s="13" t="n">
        <f aca="false">E231-D231+1</f>
        <v>2</v>
      </c>
      <c r="G231" s="14" t="s">
        <v>284</v>
      </c>
      <c r="H231" s="15"/>
      <c r="I231" s="14"/>
      <c r="J231" s="13" t="n">
        <f aca="false">IF(H231&lt;&gt;"",H231,IF(C231="Slides",F231*Synthèse!$C$3,0))</f>
        <v>0</v>
      </c>
      <c r="K231" s="13" t="n">
        <f aca="false">SUMIFS($J$2:J231,$A$2:A231,A231)</f>
        <v>12</v>
      </c>
      <c r="L231" s="16"/>
    </row>
    <row r="232" customFormat="false" ht="23.85" hidden="false" customHeight="false" outlineLevel="0" collapsed="false">
      <c r="A232" s="23" t="s">
        <v>37</v>
      </c>
      <c r="B232" s="23" t="n">
        <v>21</v>
      </c>
      <c r="C232" s="23" t="s">
        <v>68</v>
      </c>
      <c r="D232" s="23" t="n">
        <v>31</v>
      </c>
      <c r="E232" s="23" t="n">
        <v>31</v>
      </c>
      <c r="F232" s="23"/>
      <c r="G232" s="24" t="s">
        <v>285</v>
      </c>
      <c r="H232" s="15"/>
      <c r="I232" s="24"/>
      <c r="J232" s="23" t="n">
        <f aca="false">IF(H232&lt;&gt;"",H232,IF(C232="Slides",F232*Synthèse!$C$3,0))</f>
        <v>0</v>
      </c>
      <c r="K232" s="23" t="n">
        <f aca="false">SUMIFS($J$2:J232,$A$2:A232,A232)</f>
        <v>12</v>
      </c>
      <c r="L232" s="16"/>
    </row>
    <row r="233" customFormat="false" ht="15" hidden="false" customHeight="false" outlineLevel="0" collapsed="false">
      <c r="A233" s="13" t="s">
        <v>37</v>
      </c>
      <c r="B233" s="13" t="n">
        <v>22</v>
      </c>
      <c r="C233" s="13" t="s">
        <v>19</v>
      </c>
      <c r="D233" s="13" t="n">
        <v>32</v>
      </c>
      <c r="E233" s="13" t="n">
        <v>32</v>
      </c>
      <c r="F233" s="13" t="n">
        <f aca="false">E233-D233+1</f>
        <v>1</v>
      </c>
      <c r="G233" s="14" t="s">
        <v>155</v>
      </c>
      <c r="H233" s="15"/>
      <c r="I233" s="14"/>
      <c r="J233" s="13" t="n">
        <f aca="false">IF(H233&lt;&gt;"",H233,IF(C233="Slides",F233*Synthèse!$C$3,0))</f>
        <v>0</v>
      </c>
      <c r="K233" s="13" t="n">
        <f aca="false">SUMIFS($J$2:J233,$A$2:A233,A233)</f>
        <v>12</v>
      </c>
      <c r="L233" s="16"/>
    </row>
    <row r="234" customFormat="false" ht="15" hidden="false" customHeight="false" outlineLevel="0" collapsed="false">
      <c r="A234" s="13" t="s">
        <v>38</v>
      </c>
      <c r="B234" s="13" t="n">
        <v>1</v>
      </c>
      <c r="C234" s="13" t="s">
        <v>19</v>
      </c>
      <c r="D234" s="13" t="n">
        <v>2</v>
      </c>
      <c r="E234" s="13" t="n">
        <v>2</v>
      </c>
      <c r="F234" s="13" t="n">
        <f aca="false">E234-D234+1</f>
        <v>1</v>
      </c>
      <c r="G234" s="14" t="s">
        <v>59</v>
      </c>
      <c r="H234" s="15"/>
      <c r="I234" s="14"/>
      <c r="J234" s="13" t="n">
        <f aca="false">IF(H234&lt;&gt;"",H234,IF(C234="Slides",F234*Synthèse!$C$3,0))</f>
        <v>0</v>
      </c>
      <c r="K234" s="13" t="n">
        <f aca="false">SUMIFS($J$2:J234,$A$2:A234,A234)</f>
        <v>0</v>
      </c>
      <c r="L234" s="16"/>
    </row>
    <row r="235" customFormat="false" ht="15" hidden="false" customHeight="false" outlineLevel="0" collapsed="false">
      <c r="A235" s="17" t="s">
        <v>38</v>
      </c>
      <c r="B235" s="17" t="n">
        <v>2</v>
      </c>
      <c r="C235" s="17" t="s">
        <v>56</v>
      </c>
      <c r="D235" s="17" t="n">
        <v>3</v>
      </c>
      <c r="E235" s="17" t="n">
        <v>3</v>
      </c>
      <c r="F235" s="17"/>
      <c r="G235" s="18" t="s">
        <v>286</v>
      </c>
      <c r="H235" s="19"/>
      <c r="I235" s="18"/>
      <c r="J235" s="17" t="n">
        <f aca="false">IF(H235&lt;&gt;"",H235,IF(C235="Slides",F235*Synthèse!$C$3,0))</f>
        <v>0</v>
      </c>
      <c r="K235" s="17" t="n">
        <f aca="false">SUMIFS($J$2:J235,$A$2:A235,A235)</f>
        <v>0</v>
      </c>
      <c r="L235" s="20"/>
    </row>
    <row r="236" customFormat="false" ht="15" hidden="false" customHeight="false" outlineLevel="0" collapsed="false">
      <c r="A236" s="13" t="s">
        <v>38</v>
      </c>
      <c r="B236" s="13" t="n">
        <v>3</v>
      </c>
      <c r="C236" s="13" t="s">
        <v>19</v>
      </c>
      <c r="D236" s="13" t="n">
        <v>4</v>
      </c>
      <c r="E236" s="13" t="n">
        <v>5</v>
      </c>
      <c r="F236" s="13" t="n">
        <f aca="false">E236-D236+1</f>
        <v>2</v>
      </c>
      <c r="G236" s="14" t="s">
        <v>287</v>
      </c>
      <c r="H236" s="15"/>
      <c r="I236" s="14"/>
      <c r="J236" s="13" t="n">
        <f aca="false">IF(H236&lt;&gt;"",H236,IF(C236="Slides",F236*Synthèse!$C$3,0))</f>
        <v>0</v>
      </c>
      <c r="K236" s="13" t="n">
        <f aca="false">SUMIFS($J$2:J236,$A$2:A236,A236)</f>
        <v>0</v>
      </c>
      <c r="L236" s="16"/>
    </row>
    <row r="237" customFormat="false" ht="23.85" hidden="false" customHeight="false" outlineLevel="0" collapsed="false">
      <c r="A237" s="21" t="s">
        <v>38</v>
      </c>
      <c r="B237" s="21" t="n">
        <v>4</v>
      </c>
      <c r="C237" s="21" t="s">
        <v>64</v>
      </c>
      <c r="D237" s="21" t="n">
        <v>6</v>
      </c>
      <c r="E237" s="21" t="n">
        <v>6</v>
      </c>
      <c r="F237" s="21"/>
      <c r="G237" s="22" t="s">
        <v>288</v>
      </c>
      <c r="H237" s="15" t="n">
        <v>12</v>
      </c>
      <c r="I237" s="22" t="s">
        <v>93</v>
      </c>
      <c r="J237" s="21" t="n">
        <f aca="false">IF(H237&lt;&gt;"",H237,IF(C237="Slides",F237*Synthèse!$C$3,0))</f>
        <v>12</v>
      </c>
      <c r="K237" s="21" t="n">
        <f aca="false">SUMIFS($J$2:J237,$A$2:A237,A237)</f>
        <v>12</v>
      </c>
      <c r="L237" s="16"/>
    </row>
    <row r="238" customFormat="false" ht="15" hidden="false" customHeight="false" outlineLevel="0" collapsed="false">
      <c r="A238" s="17" t="s">
        <v>38</v>
      </c>
      <c r="B238" s="17" t="n">
        <v>5</v>
      </c>
      <c r="C238" s="17" t="s">
        <v>56</v>
      </c>
      <c r="D238" s="17" t="n">
        <v>7</v>
      </c>
      <c r="E238" s="17" t="n">
        <v>7</v>
      </c>
      <c r="F238" s="17"/>
      <c r="G238" s="18" t="s">
        <v>289</v>
      </c>
      <c r="H238" s="19"/>
      <c r="I238" s="18"/>
      <c r="J238" s="17" t="n">
        <f aca="false">IF(H238&lt;&gt;"",H238,IF(C238="Slides",F238*Synthèse!$C$3,0))</f>
        <v>0</v>
      </c>
      <c r="K238" s="17" t="n">
        <f aca="false">SUMIFS($J$2:J238,$A$2:A238,A238)</f>
        <v>12</v>
      </c>
      <c r="L238" s="20"/>
    </row>
    <row r="239" customFormat="false" ht="23.85" hidden="false" customHeight="false" outlineLevel="0" collapsed="false">
      <c r="A239" s="13" t="s">
        <v>38</v>
      </c>
      <c r="B239" s="13" t="n">
        <v>6</v>
      </c>
      <c r="C239" s="13" t="s">
        <v>19</v>
      </c>
      <c r="D239" s="13" t="n">
        <v>8</v>
      </c>
      <c r="E239" s="13" t="n">
        <v>11</v>
      </c>
      <c r="F239" s="13" t="n">
        <f aca="false">E239-D239+1</f>
        <v>4</v>
      </c>
      <c r="G239" s="14" t="s">
        <v>290</v>
      </c>
      <c r="H239" s="15"/>
      <c r="I239" s="14"/>
      <c r="J239" s="13" t="n">
        <f aca="false">IF(H239&lt;&gt;"",H239,IF(C239="Slides",F239*Synthèse!$C$3,0))</f>
        <v>0</v>
      </c>
      <c r="K239" s="13" t="n">
        <f aca="false">SUMIFS($J$2:J239,$A$2:A239,A239)</f>
        <v>12</v>
      </c>
      <c r="L239" s="16"/>
    </row>
    <row r="240" customFormat="false" ht="35.05" hidden="false" customHeight="false" outlineLevel="0" collapsed="false">
      <c r="A240" s="23" t="s">
        <v>38</v>
      </c>
      <c r="B240" s="23" t="n">
        <v>7</v>
      </c>
      <c r="C240" s="23" t="s">
        <v>68</v>
      </c>
      <c r="D240" s="23" t="n">
        <v>12</v>
      </c>
      <c r="E240" s="23" t="n">
        <v>12</v>
      </c>
      <c r="F240" s="23"/>
      <c r="G240" s="24" t="s">
        <v>291</v>
      </c>
      <c r="H240" s="15"/>
      <c r="I240" s="24"/>
      <c r="J240" s="23" t="n">
        <f aca="false">IF(H240&lt;&gt;"",H240,IF(C240="Slides",F240*Synthèse!$C$3,0))</f>
        <v>0</v>
      </c>
      <c r="K240" s="23" t="n">
        <f aca="false">SUMIFS($J$2:J240,$A$2:A240,A240)</f>
        <v>12</v>
      </c>
      <c r="L240" s="16"/>
    </row>
    <row r="241" customFormat="false" ht="15" hidden="false" customHeight="false" outlineLevel="0" collapsed="false">
      <c r="A241" s="17" t="s">
        <v>38</v>
      </c>
      <c r="B241" s="17" t="n">
        <v>8</v>
      </c>
      <c r="C241" s="17" t="s">
        <v>56</v>
      </c>
      <c r="D241" s="17" t="n">
        <v>13</v>
      </c>
      <c r="E241" s="17" t="n">
        <v>13</v>
      </c>
      <c r="F241" s="17"/>
      <c r="G241" s="18" t="s">
        <v>292</v>
      </c>
      <c r="H241" s="19"/>
      <c r="I241" s="18"/>
      <c r="J241" s="17" t="n">
        <f aca="false">IF(H241&lt;&gt;"",H241,IF(C241="Slides",F241*Synthèse!$C$3,0))</f>
        <v>0</v>
      </c>
      <c r="K241" s="17" t="n">
        <f aca="false">SUMIFS($J$2:J241,$A$2:A241,A241)</f>
        <v>12</v>
      </c>
      <c r="L241" s="20"/>
    </row>
    <row r="242" customFormat="false" ht="23.85" hidden="false" customHeight="false" outlineLevel="0" collapsed="false">
      <c r="A242" s="13" t="s">
        <v>38</v>
      </c>
      <c r="B242" s="13" t="n">
        <v>9</v>
      </c>
      <c r="C242" s="13" t="s">
        <v>19</v>
      </c>
      <c r="D242" s="13" t="n">
        <v>14</v>
      </c>
      <c r="E242" s="13" t="n">
        <v>18</v>
      </c>
      <c r="F242" s="13" t="n">
        <f aca="false">E242-D242+1</f>
        <v>5</v>
      </c>
      <c r="G242" s="14" t="s">
        <v>293</v>
      </c>
      <c r="H242" s="15"/>
      <c r="I242" s="14"/>
      <c r="J242" s="13" t="n">
        <f aca="false">IF(H242&lt;&gt;"",H242,IF(C242="Slides",F242*Synthèse!$C$3,0))</f>
        <v>0</v>
      </c>
      <c r="K242" s="13" t="n">
        <f aca="false">SUMIFS($J$2:J242,$A$2:A242,A242)</f>
        <v>12</v>
      </c>
      <c r="L242" s="16"/>
    </row>
    <row r="243" customFormat="false" ht="23.85" hidden="false" customHeight="false" outlineLevel="0" collapsed="false">
      <c r="A243" s="23" t="s">
        <v>38</v>
      </c>
      <c r="B243" s="23" t="n">
        <v>10</v>
      </c>
      <c r="C243" s="23" t="s">
        <v>68</v>
      </c>
      <c r="D243" s="23" t="n">
        <v>19</v>
      </c>
      <c r="E243" s="23" t="n">
        <v>19</v>
      </c>
      <c r="F243" s="23"/>
      <c r="G243" s="24" t="s">
        <v>294</v>
      </c>
      <c r="H243" s="15"/>
      <c r="I243" s="24"/>
      <c r="J243" s="23" t="n">
        <f aca="false">IF(H243&lt;&gt;"",H243,IF(C243="Slides",F243*Synthèse!$C$3,0))</f>
        <v>0</v>
      </c>
      <c r="K243" s="23" t="n">
        <f aca="false">SUMIFS($J$2:J243,$A$2:A243,A243)</f>
        <v>12</v>
      </c>
      <c r="L243" s="16"/>
    </row>
    <row r="244" customFormat="false" ht="15" hidden="false" customHeight="false" outlineLevel="0" collapsed="false">
      <c r="A244" s="13" t="s">
        <v>38</v>
      </c>
      <c r="B244" s="13" t="n">
        <v>11</v>
      </c>
      <c r="C244" s="13" t="s">
        <v>19</v>
      </c>
      <c r="D244" s="13" t="n">
        <v>20</v>
      </c>
      <c r="E244" s="13" t="n">
        <v>21</v>
      </c>
      <c r="F244" s="13" t="n">
        <f aca="false">E244-D244+1</f>
        <v>2</v>
      </c>
      <c r="G244" s="14" t="s">
        <v>295</v>
      </c>
      <c r="H244" s="15"/>
      <c r="I244" s="14"/>
      <c r="J244" s="13" t="n">
        <f aca="false">IF(H244&lt;&gt;"",H244,IF(C244="Slides",F244*Synthèse!$C$3,0))</f>
        <v>0</v>
      </c>
      <c r="K244" s="13" t="n">
        <f aca="false">SUMIFS($J$2:J244,$A$2:A244,A244)</f>
        <v>12</v>
      </c>
      <c r="L244" s="16"/>
    </row>
    <row r="245" customFormat="false" ht="15" hidden="false" customHeight="false" outlineLevel="0" collapsed="false">
      <c r="A245" s="13" t="s">
        <v>39</v>
      </c>
      <c r="B245" s="13" t="n">
        <v>1</v>
      </c>
      <c r="C245" s="13" t="s">
        <v>19</v>
      </c>
      <c r="D245" s="13" t="n">
        <v>2</v>
      </c>
      <c r="E245" s="13" t="n">
        <v>2</v>
      </c>
      <c r="F245" s="13" t="n">
        <f aca="false">E245-D245+1</f>
        <v>1</v>
      </c>
      <c r="G245" s="14" t="s">
        <v>59</v>
      </c>
      <c r="H245" s="15"/>
      <c r="I245" s="14"/>
      <c r="J245" s="13" t="n">
        <f aca="false">IF(H245&lt;&gt;"",H245,IF(C245="Slides",F245*Synthèse!$C$3,0))</f>
        <v>0</v>
      </c>
      <c r="K245" s="13" t="n">
        <f aca="false">SUMIFS($J$2:J245,$A$2:A245,A245)</f>
        <v>0</v>
      </c>
      <c r="L245" s="16"/>
    </row>
    <row r="246" customFormat="false" ht="15" hidden="false" customHeight="false" outlineLevel="0" collapsed="false">
      <c r="A246" s="17" t="s">
        <v>39</v>
      </c>
      <c r="B246" s="17" t="n">
        <v>2</v>
      </c>
      <c r="C246" s="17" t="s">
        <v>56</v>
      </c>
      <c r="D246" s="17" t="n">
        <v>3</v>
      </c>
      <c r="E246" s="17" t="n">
        <v>3</v>
      </c>
      <c r="F246" s="17"/>
      <c r="G246" s="18" t="s">
        <v>296</v>
      </c>
      <c r="H246" s="19"/>
      <c r="I246" s="18"/>
      <c r="J246" s="17" t="n">
        <f aca="false">IF(H246&lt;&gt;"",H246,IF(C246="Slides",F246*Synthèse!$C$3,0))</f>
        <v>0</v>
      </c>
      <c r="K246" s="17" t="n">
        <f aca="false">SUMIFS($J$2:J246,$A$2:A246,A246)</f>
        <v>0</v>
      </c>
      <c r="L246" s="20"/>
    </row>
    <row r="247" customFormat="false" ht="23.85" hidden="false" customHeight="false" outlineLevel="0" collapsed="false">
      <c r="A247" s="13" t="s">
        <v>39</v>
      </c>
      <c r="B247" s="13" t="n">
        <v>3</v>
      </c>
      <c r="C247" s="13" t="s">
        <v>19</v>
      </c>
      <c r="D247" s="13" t="n">
        <v>4</v>
      </c>
      <c r="E247" s="13" t="n">
        <v>6</v>
      </c>
      <c r="F247" s="13" t="n">
        <f aca="false">E247-D247+1</f>
        <v>3</v>
      </c>
      <c r="G247" s="14" t="s">
        <v>297</v>
      </c>
      <c r="H247" s="15"/>
      <c r="I247" s="14"/>
      <c r="J247" s="13" t="n">
        <f aca="false">IF(H247&lt;&gt;"",H247,IF(C247="Slides",F247*Synthèse!$C$3,0))</f>
        <v>0</v>
      </c>
      <c r="K247" s="13" t="n">
        <f aca="false">SUMIFS($J$2:J247,$A$2:A247,A247)</f>
        <v>0</v>
      </c>
      <c r="L247" s="16"/>
    </row>
    <row r="248" customFormat="false" ht="15" hidden="false" customHeight="false" outlineLevel="0" collapsed="false">
      <c r="A248" s="17" t="s">
        <v>39</v>
      </c>
      <c r="B248" s="17" t="n">
        <v>4</v>
      </c>
      <c r="C248" s="17" t="s">
        <v>56</v>
      </c>
      <c r="D248" s="17" t="n">
        <v>7</v>
      </c>
      <c r="E248" s="17" t="n">
        <v>7</v>
      </c>
      <c r="F248" s="17"/>
      <c r="G248" s="18" t="s">
        <v>298</v>
      </c>
      <c r="H248" s="19"/>
      <c r="I248" s="18"/>
      <c r="J248" s="17" t="n">
        <f aca="false">IF(H248&lt;&gt;"",H248,IF(C248="Slides",F248*Synthèse!$C$3,0))</f>
        <v>0</v>
      </c>
      <c r="K248" s="17" t="n">
        <f aca="false">SUMIFS($J$2:J248,$A$2:A248,A248)</f>
        <v>0</v>
      </c>
      <c r="L248" s="20"/>
    </row>
    <row r="249" customFormat="false" ht="23.85" hidden="false" customHeight="false" outlineLevel="0" collapsed="false">
      <c r="A249" s="13" t="s">
        <v>39</v>
      </c>
      <c r="B249" s="13" t="n">
        <v>5</v>
      </c>
      <c r="C249" s="13" t="s">
        <v>19</v>
      </c>
      <c r="D249" s="13" t="n">
        <v>8</v>
      </c>
      <c r="E249" s="13" t="n">
        <v>12</v>
      </c>
      <c r="F249" s="13" t="n">
        <f aca="false">E249-D249+1</f>
        <v>5</v>
      </c>
      <c r="G249" s="14" t="s">
        <v>299</v>
      </c>
      <c r="H249" s="15"/>
      <c r="I249" s="14"/>
      <c r="J249" s="13" t="n">
        <f aca="false">IF(H249&lt;&gt;"",H249,IF(C249="Slides",F249*Synthèse!$C$3,0))</f>
        <v>0</v>
      </c>
      <c r="K249" s="13" t="n">
        <f aca="false">SUMIFS($J$2:J249,$A$2:A249,A249)</f>
        <v>0</v>
      </c>
      <c r="L249" s="16"/>
    </row>
    <row r="250" customFormat="false" ht="15" hidden="false" customHeight="false" outlineLevel="0" collapsed="false">
      <c r="A250" s="17" t="s">
        <v>39</v>
      </c>
      <c r="B250" s="17" t="n">
        <v>6</v>
      </c>
      <c r="C250" s="17" t="s">
        <v>56</v>
      </c>
      <c r="D250" s="17" t="n">
        <v>13</v>
      </c>
      <c r="E250" s="17" t="n">
        <v>13</v>
      </c>
      <c r="F250" s="17"/>
      <c r="G250" s="18" t="s">
        <v>300</v>
      </c>
      <c r="H250" s="19"/>
      <c r="I250" s="18"/>
      <c r="J250" s="17" t="n">
        <f aca="false">IF(H250&lt;&gt;"",H250,IF(C250="Slides",F250*Synthèse!$C$3,0))</f>
        <v>0</v>
      </c>
      <c r="K250" s="17" t="n">
        <f aca="false">SUMIFS($J$2:J250,$A$2:A250,A250)</f>
        <v>0</v>
      </c>
      <c r="L250" s="20"/>
    </row>
    <row r="251" customFormat="false" ht="15" hidden="false" customHeight="false" outlineLevel="0" collapsed="false">
      <c r="A251" s="13" t="s">
        <v>39</v>
      </c>
      <c r="B251" s="13" t="n">
        <v>7</v>
      </c>
      <c r="C251" s="13" t="s">
        <v>19</v>
      </c>
      <c r="D251" s="13" t="n">
        <v>14</v>
      </c>
      <c r="E251" s="13" t="n">
        <v>14</v>
      </c>
      <c r="F251" s="13" t="n">
        <f aca="false">E251-D251+1</f>
        <v>1</v>
      </c>
      <c r="G251" s="14" t="s">
        <v>301</v>
      </c>
      <c r="H251" s="15"/>
      <c r="I251" s="14"/>
      <c r="J251" s="13" t="n">
        <f aca="false">IF(H251&lt;&gt;"",H251,IF(C251="Slides",F251*Synthèse!$C$3,0))</f>
        <v>0</v>
      </c>
      <c r="K251" s="13" t="n">
        <f aca="false">SUMIFS($J$2:J251,$A$2:A251,A251)</f>
        <v>0</v>
      </c>
      <c r="L251" s="16"/>
    </row>
    <row r="252" customFormat="false" ht="35.05" hidden="false" customHeight="false" outlineLevel="0" collapsed="false">
      <c r="A252" s="21" t="s">
        <v>39</v>
      </c>
      <c r="B252" s="21" t="n">
        <v>8</v>
      </c>
      <c r="C252" s="21" t="s">
        <v>64</v>
      </c>
      <c r="D252" s="21" t="n">
        <v>15</v>
      </c>
      <c r="E252" s="21" t="n">
        <v>15</v>
      </c>
      <c r="F252" s="21"/>
      <c r="G252" s="22" t="s">
        <v>302</v>
      </c>
      <c r="H252" s="15" t="n">
        <v>6</v>
      </c>
      <c r="I252" s="22" t="s">
        <v>303</v>
      </c>
      <c r="J252" s="21" t="n">
        <f aca="false">IF(H252&lt;&gt;"",H252,IF(C252="Slides",F252*Synthèse!$C$3,0))</f>
        <v>6</v>
      </c>
      <c r="K252" s="21" t="n">
        <f aca="false">SUMIFS($J$2:J252,$A$2:A252,A252)</f>
        <v>6</v>
      </c>
      <c r="L252" s="16" t="s">
        <v>304</v>
      </c>
    </row>
    <row r="253" customFormat="false" ht="15" hidden="false" customHeight="false" outlineLevel="0" collapsed="false">
      <c r="A253" s="13" t="s">
        <v>39</v>
      </c>
      <c r="B253" s="13" t="n">
        <v>9</v>
      </c>
      <c r="C253" s="13" t="s">
        <v>19</v>
      </c>
      <c r="D253" s="13" t="n">
        <v>16</v>
      </c>
      <c r="E253" s="13" t="n">
        <v>17</v>
      </c>
      <c r="F253" s="13" t="n">
        <f aca="false">E253-D253+1</f>
        <v>2</v>
      </c>
      <c r="G253" s="14" t="s">
        <v>305</v>
      </c>
      <c r="H253" s="15"/>
      <c r="I253" s="14"/>
      <c r="J253" s="13" t="n">
        <f aca="false">IF(H253&lt;&gt;"",H253,IF(C253="Slides",F253*Synthèse!$C$3,0))</f>
        <v>0</v>
      </c>
      <c r="K253" s="13" t="n">
        <f aca="false">SUMIFS($J$2:J253,$A$2:A253,A253)</f>
        <v>6</v>
      </c>
      <c r="L253" s="16"/>
    </row>
    <row r="254" customFormat="false" ht="23.85" hidden="false" customHeight="false" outlineLevel="0" collapsed="false">
      <c r="A254" s="23" t="s">
        <v>39</v>
      </c>
      <c r="B254" s="23" t="n">
        <v>10</v>
      </c>
      <c r="C254" s="23" t="s">
        <v>68</v>
      </c>
      <c r="D254" s="23" t="n">
        <v>18</v>
      </c>
      <c r="E254" s="23" t="n">
        <v>18</v>
      </c>
      <c r="F254" s="23"/>
      <c r="G254" s="24" t="s">
        <v>306</v>
      </c>
      <c r="H254" s="15"/>
      <c r="I254" s="24"/>
      <c r="J254" s="23" t="n">
        <f aca="false">IF(H254&lt;&gt;"",H254,IF(C254="Slides",F254*Synthèse!$C$3,0))</f>
        <v>0</v>
      </c>
      <c r="K254" s="23" t="n">
        <f aca="false">SUMIFS($J$2:J254,$A$2:A254,A254)</f>
        <v>6</v>
      </c>
      <c r="L254" s="16"/>
    </row>
    <row r="255" customFormat="false" ht="15" hidden="false" customHeight="false" outlineLevel="0" collapsed="false">
      <c r="A255" s="17" t="s">
        <v>39</v>
      </c>
      <c r="B255" s="17" t="n">
        <v>11</v>
      </c>
      <c r="C255" s="17" t="s">
        <v>56</v>
      </c>
      <c r="D255" s="17" t="n">
        <v>19</v>
      </c>
      <c r="E255" s="17" t="n">
        <v>19</v>
      </c>
      <c r="F255" s="17"/>
      <c r="G255" s="18" t="s">
        <v>307</v>
      </c>
      <c r="H255" s="19"/>
      <c r="I255" s="18"/>
      <c r="J255" s="17" t="n">
        <f aca="false">IF(H255&lt;&gt;"",H255,IF(C255="Slides",F255*Synthèse!$C$3,0))</f>
        <v>0</v>
      </c>
      <c r="K255" s="17" t="n">
        <f aca="false">SUMIFS($J$2:J255,$A$2:A255,A255)</f>
        <v>6</v>
      </c>
      <c r="L255" s="20"/>
    </row>
    <row r="256" customFormat="false" ht="35.05" hidden="false" customHeight="false" outlineLevel="0" collapsed="false">
      <c r="A256" s="21" t="s">
        <v>39</v>
      </c>
      <c r="B256" s="21" t="n">
        <v>12</v>
      </c>
      <c r="C256" s="21" t="s">
        <v>64</v>
      </c>
      <c r="D256" s="21" t="n">
        <v>20</v>
      </c>
      <c r="E256" s="21" t="n">
        <v>20</v>
      </c>
      <c r="F256" s="21"/>
      <c r="G256" s="22" t="s">
        <v>308</v>
      </c>
      <c r="H256" s="15" t="n">
        <v>6</v>
      </c>
      <c r="I256" s="22" t="s">
        <v>303</v>
      </c>
      <c r="J256" s="21" t="n">
        <f aca="false">IF(H256&lt;&gt;"",H256,IF(C256="Slides",F256*Synthèse!$C$3,0))</f>
        <v>6</v>
      </c>
      <c r="K256" s="21" t="n">
        <f aca="false">SUMIFS($J$2:J256,$A$2:A256,A256)</f>
        <v>12</v>
      </c>
      <c r="L256" s="16" t="s">
        <v>304</v>
      </c>
    </row>
    <row r="257" customFormat="false" ht="15" hidden="false" customHeight="false" outlineLevel="0" collapsed="false">
      <c r="A257" s="13" t="s">
        <v>39</v>
      </c>
      <c r="B257" s="13" t="n">
        <v>13</v>
      </c>
      <c r="C257" s="13" t="s">
        <v>19</v>
      </c>
      <c r="D257" s="13" t="n">
        <v>21</v>
      </c>
      <c r="E257" s="13" t="n">
        <v>22</v>
      </c>
      <c r="F257" s="13" t="n">
        <f aca="false">E257-D257+1</f>
        <v>2</v>
      </c>
      <c r="G257" s="14" t="s">
        <v>309</v>
      </c>
      <c r="H257" s="15"/>
      <c r="I257" s="14"/>
      <c r="J257" s="13" t="n">
        <f aca="false">IF(H257&lt;&gt;"",H257,IF(C257="Slides",F257*Synthèse!$C$3,0))</f>
        <v>0</v>
      </c>
      <c r="K257" s="13" t="n">
        <f aca="false">SUMIFS($J$2:J257,$A$2:A257,A257)</f>
        <v>12</v>
      </c>
      <c r="L257" s="16"/>
    </row>
    <row r="258" customFormat="false" ht="15" hidden="false" customHeight="false" outlineLevel="0" collapsed="false">
      <c r="A258" s="23" t="s">
        <v>39</v>
      </c>
      <c r="B258" s="23" t="n">
        <v>14</v>
      </c>
      <c r="C258" s="23" t="s">
        <v>68</v>
      </c>
      <c r="D258" s="23" t="n">
        <v>23</v>
      </c>
      <c r="E258" s="23" t="n">
        <v>23</v>
      </c>
      <c r="F258" s="23"/>
      <c r="G258" s="24" t="s">
        <v>310</v>
      </c>
      <c r="H258" s="15"/>
      <c r="I258" s="24"/>
      <c r="J258" s="23" t="n">
        <f aca="false">IF(H258&lt;&gt;"",H258,IF(C258="Slides",F258*Synthèse!$C$3,0))</f>
        <v>0</v>
      </c>
      <c r="K258" s="23" t="n">
        <f aca="false">SUMIFS($J$2:J258,$A$2:A258,A258)</f>
        <v>12</v>
      </c>
      <c r="L258" s="16"/>
    </row>
    <row r="259" customFormat="false" ht="15" hidden="false" customHeight="false" outlineLevel="0" collapsed="false">
      <c r="A259" s="13" t="s">
        <v>39</v>
      </c>
      <c r="B259" s="13" t="n">
        <v>15</v>
      </c>
      <c r="C259" s="13" t="s">
        <v>19</v>
      </c>
      <c r="D259" s="13" t="n">
        <v>24</v>
      </c>
      <c r="E259" s="13" t="n">
        <v>26</v>
      </c>
      <c r="F259" s="13" t="n">
        <f aca="false">E259-D259+1</f>
        <v>3</v>
      </c>
      <c r="G259" s="14" t="s">
        <v>311</v>
      </c>
      <c r="H259" s="15"/>
      <c r="I259" s="14"/>
      <c r="J259" s="13" t="n">
        <f aca="false">IF(H259&lt;&gt;"",H259,IF(C259="Slides",F259*Synthèse!$C$3,0))</f>
        <v>0</v>
      </c>
      <c r="K259" s="13" t="n">
        <f aca="false">SUMIFS($J$2:J259,$A$2:A259,A259)</f>
        <v>12</v>
      </c>
      <c r="L259" s="16"/>
    </row>
    <row r="260" customFormat="false" ht="15" hidden="false" customHeight="false" outlineLevel="0" collapsed="false">
      <c r="A260" s="17" t="s">
        <v>39</v>
      </c>
      <c r="B260" s="17" t="n">
        <v>16</v>
      </c>
      <c r="C260" s="17" t="s">
        <v>56</v>
      </c>
      <c r="D260" s="17" t="n">
        <v>27</v>
      </c>
      <c r="E260" s="17" t="n">
        <v>27</v>
      </c>
      <c r="F260" s="17"/>
      <c r="G260" s="18" t="s">
        <v>312</v>
      </c>
      <c r="H260" s="19"/>
      <c r="I260" s="18"/>
      <c r="J260" s="17" t="n">
        <f aca="false">IF(H260&lt;&gt;"",H260,IF(C260="Slides",F260*Synthèse!$C$3,0))</f>
        <v>0</v>
      </c>
      <c r="K260" s="17" t="n">
        <f aca="false">SUMIFS($J$2:J260,$A$2:A260,A260)</f>
        <v>12</v>
      </c>
      <c r="L260" s="20"/>
    </row>
    <row r="261" customFormat="false" ht="35.05" hidden="false" customHeight="false" outlineLevel="0" collapsed="false">
      <c r="A261" s="21" t="s">
        <v>39</v>
      </c>
      <c r="B261" s="21" t="n">
        <v>17</v>
      </c>
      <c r="C261" s="21" t="s">
        <v>64</v>
      </c>
      <c r="D261" s="21" t="n">
        <v>28</v>
      </c>
      <c r="E261" s="21" t="n">
        <v>28</v>
      </c>
      <c r="F261" s="21"/>
      <c r="G261" s="22" t="s">
        <v>313</v>
      </c>
      <c r="H261" s="15" t="n">
        <v>6</v>
      </c>
      <c r="I261" s="22" t="s">
        <v>303</v>
      </c>
      <c r="J261" s="21" t="n">
        <f aca="false">IF(H261&lt;&gt;"",H261,IF(C261="Slides",F261*Synthèse!$C$3,0))</f>
        <v>6</v>
      </c>
      <c r="K261" s="21" t="n">
        <f aca="false">SUMIFS($J$2:J261,$A$2:A261,A261)</f>
        <v>18</v>
      </c>
      <c r="L261" s="16" t="s">
        <v>304</v>
      </c>
    </row>
    <row r="262" customFormat="false" ht="23.85" hidden="false" customHeight="false" outlineLevel="0" collapsed="false">
      <c r="A262" s="13" t="s">
        <v>39</v>
      </c>
      <c r="B262" s="13" t="n">
        <v>18</v>
      </c>
      <c r="C262" s="13" t="s">
        <v>19</v>
      </c>
      <c r="D262" s="13" t="n">
        <v>29</v>
      </c>
      <c r="E262" s="13" t="n">
        <v>34</v>
      </c>
      <c r="F262" s="13" t="n">
        <f aca="false">E262-D262+1</f>
        <v>6</v>
      </c>
      <c r="G262" s="14" t="s">
        <v>314</v>
      </c>
      <c r="H262" s="15"/>
      <c r="I262" s="14"/>
      <c r="J262" s="13" t="n">
        <f aca="false">IF(H262&lt;&gt;"",H262,IF(C262="Slides",F262*Synthèse!$C$3,0))</f>
        <v>0</v>
      </c>
      <c r="K262" s="13" t="n">
        <f aca="false">SUMIFS($J$2:J262,$A$2:A262,A262)</f>
        <v>18</v>
      </c>
      <c r="L262" s="16"/>
    </row>
    <row r="263" customFormat="false" ht="15" hidden="false" customHeight="false" outlineLevel="0" collapsed="false">
      <c r="A263" s="23" t="s">
        <v>39</v>
      </c>
      <c r="B263" s="23" t="n">
        <v>19</v>
      </c>
      <c r="C263" s="23" t="s">
        <v>68</v>
      </c>
      <c r="D263" s="23" t="n">
        <v>35</v>
      </c>
      <c r="E263" s="23" t="n">
        <v>35</v>
      </c>
      <c r="F263" s="23"/>
      <c r="G263" s="24" t="s">
        <v>315</v>
      </c>
      <c r="H263" s="15"/>
      <c r="I263" s="24"/>
      <c r="J263" s="23" t="n">
        <f aca="false">IF(H263&lt;&gt;"",H263,IF(C263="Slides",F263*Synthèse!$C$3,0))</f>
        <v>0</v>
      </c>
      <c r="K263" s="23" t="n">
        <f aca="false">SUMIFS($J$2:J263,$A$2:A263,A263)</f>
        <v>18</v>
      </c>
      <c r="L263" s="16"/>
    </row>
    <row r="264" customFormat="false" ht="15" hidden="false" customHeight="false" outlineLevel="0" collapsed="false">
      <c r="A264" s="13" t="s">
        <v>39</v>
      </c>
      <c r="B264" s="13" t="n">
        <v>20</v>
      </c>
      <c r="C264" s="13" t="s">
        <v>19</v>
      </c>
      <c r="D264" s="13" t="n">
        <v>36</v>
      </c>
      <c r="E264" s="13" t="n">
        <v>36</v>
      </c>
      <c r="F264" s="13" t="n">
        <f aca="false">E264-D264+1</f>
        <v>1</v>
      </c>
      <c r="G264" s="14" t="s">
        <v>155</v>
      </c>
      <c r="H264" s="15"/>
      <c r="I264" s="14"/>
      <c r="J264" s="13" t="n">
        <f aca="false">IF(H264&lt;&gt;"",H264,IF(C264="Slides",F264*Synthèse!$C$3,0))</f>
        <v>0</v>
      </c>
      <c r="K264" s="13" t="n">
        <f aca="false">SUMIFS($J$2:J264,$A$2:A264,A264)</f>
        <v>18</v>
      </c>
      <c r="L264" s="16"/>
    </row>
    <row r="265" customFormat="false" ht="15" hidden="false" customHeight="false" outlineLevel="0" collapsed="false">
      <c r="A265" s="13" t="s">
        <v>40</v>
      </c>
      <c r="B265" s="13" t="n">
        <v>1</v>
      </c>
      <c r="C265" s="13" t="s">
        <v>19</v>
      </c>
      <c r="D265" s="13" t="n">
        <v>2</v>
      </c>
      <c r="E265" s="13" t="n">
        <v>2</v>
      </c>
      <c r="F265" s="13" t="n">
        <f aca="false">E265-D265+1</f>
        <v>1</v>
      </c>
      <c r="G265" s="14" t="s">
        <v>59</v>
      </c>
      <c r="H265" s="15"/>
      <c r="I265" s="14"/>
      <c r="J265" s="13" t="n">
        <f aca="false">IF(H265&lt;&gt;"",H265,IF(C265="Slides",F265*Synthèse!$C$3,0))</f>
        <v>0</v>
      </c>
      <c r="K265" s="13" t="n">
        <f aca="false">SUMIFS($J$2:J265,$A$2:A265,A265)</f>
        <v>0</v>
      </c>
      <c r="L265" s="16"/>
    </row>
    <row r="266" customFormat="false" ht="15" hidden="false" customHeight="false" outlineLevel="0" collapsed="false">
      <c r="A266" s="17" t="s">
        <v>40</v>
      </c>
      <c r="B266" s="17" t="n">
        <v>2</v>
      </c>
      <c r="C266" s="17" t="s">
        <v>56</v>
      </c>
      <c r="D266" s="17" t="n">
        <v>3</v>
      </c>
      <c r="E266" s="17" t="n">
        <v>3</v>
      </c>
      <c r="F266" s="17"/>
      <c r="G266" s="18" t="s">
        <v>316</v>
      </c>
      <c r="H266" s="19"/>
      <c r="I266" s="18"/>
      <c r="J266" s="17" t="n">
        <f aca="false">IF(H266&lt;&gt;"",H266,IF(C266="Slides",F266*Synthèse!$C$3,0))</f>
        <v>0</v>
      </c>
      <c r="K266" s="17" t="n">
        <f aca="false">SUMIFS($J$2:J266,$A$2:A266,A266)</f>
        <v>0</v>
      </c>
      <c r="L266" s="20"/>
    </row>
    <row r="267" customFormat="false" ht="23.85" hidden="false" customHeight="false" outlineLevel="0" collapsed="false">
      <c r="A267" s="13" t="s">
        <v>40</v>
      </c>
      <c r="B267" s="13" t="n">
        <v>3</v>
      </c>
      <c r="C267" s="13" t="s">
        <v>19</v>
      </c>
      <c r="D267" s="13" t="n">
        <v>4</v>
      </c>
      <c r="E267" s="13" t="n">
        <v>7</v>
      </c>
      <c r="F267" s="13" t="n">
        <f aca="false">E267-D267+1</f>
        <v>4</v>
      </c>
      <c r="G267" s="14" t="s">
        <v>317</v>
      </c>
      <c r="H267" s="15"/>
      <c r="I267" s="14"/>
      <c r="J267" s="13" t="n">
        <f aca="false">IF(H267&lt;&gt;"",H267,IF(C267="Slides",F267*Synthèse!$C$3,0))</f>
        <v>0</v>
      </c>
      <c r="K267" s="13" t="n">
        <f aca="false">SUMIFS($J$2:J267,$A$2:A267,A267)</f>
        <v>0</v>
      </c>
      <c r="L267" s="16"/>
    </row>
    <row r="268" customFormat="false" ht="15" hidden="false" customHeight="false" outlineLevel="0" collapsed="false">
      <c r="A268" s="23" t="s">
        <v>40</v>
      </c>
      <c r="B268" s="23" t="n">
        <v>4</v>
      </c>
      <c r="C268" s="23" t="s">
        <v>68</v>
      </c>
      <c r="D268" s="23" t="n">
        <v>8</v>
      </c>
      <c r="E268" s="23" t="n">
        <v>8</v>
      </c>
      <c r="F268" s="23"/>
      <c r="G268" s="24" t="s">
        <v>318</v>
      </c>
      <c r="H268" s="15"/>
      <c r="I268" s="24"/>
      <c r="J268" s="23" t="n">
        <f aca="false">IF(H268&lt;&gt;"",H268,IF(C268="Slides",F268*Synthèse!$C$3,0))</f>
        <v>0</v>
      </c>
      <c r="K268" s="23" t="n">
        <f aca="false">SUMIFS($J$2:J268,$A$2:A268,A268)</f>
        <v>0</v>
      </c>
      <c r="L268" s="16"/>
    </row>
    <row r="269" customFormat="false" ht="15" hidden="false" customHeight="false" outlineLevel="0" collapsed="false">
      <c r="A269" s="17" t="s">
        <v>40</v>
      </c>
      <c r="B269" s="17" t="n">
        <v>5</v>
      </c>
      <c r="C269" s="17" t="s">
        <v>56</v>
      </c>
      <c r="D269" s="17" t="n">
        <v>9</v>
      </c>
      <c r="E269" s="17" t="n">
        <v>9</v>
      </c>
      <c r="F269" s="17"/>
      <c r="G269" s="18" t="s">
        <v>319</v>
      </c>
      <c r="H269" s="19"/>
      <c r="I269" s="18"/>
      <c r="J269" s="17" t="n">
        <f aca="false">IF(H269&lt;&gt;"",H269,IF(C269="Slides",F269*Synthèse!$C$3,0))</f>
        <v>0</v>
      </c>
      <c r="K269" s="17" t="n">
        <f aca="false">SUMIFS($J$2:J269,$A$2:A269,A269)</f>
        <v>0</v>
      </c>
      <c r="L269" s="20"/>
    </row>
    <row r="270" customFormat="false" ht="15" hidden="false" customHeight="false" outlineLevel="0" collapsed="false">
      <c r="A270" s="13" t="s">
        <v>40</v>
      </c>
      <c r="B270" s="13" t="n">
        <v>6</v>
      </c>
      <c r="C270" s="13" t="s">
        <v>19</v>
      </c>
      <c r="D270" s="13" t="n">
        <v>10</v>
      </c>
      <c r="E270" s="13" t="n">
        <v>12</v>
      </c>
      <c r="F270" s="13" t="n">
        <f aca="false">E270-D270+1</f>
        <v>3</v>
      </c>
      <c r="G270" s="14" t="s">
        <v>320</v>
      </c>
      <c r="H270" s="15"/>
      <c r="I270" s="14"/>
      <c r="J270" s="13" t="n">
        <f aca="false">IF(H270&lt;&gt;"",H270,IF(C270="Slides",F270*Synthèse!$C$3,0))</f>
        <v>0</v>
      </c>
      <c r="K270" s="13" t="n">
        <f aca="false">SUMIFS($J$2:J270,$A$2:A270,A270)</f>
        <v>0</v>
      </c>
      <c r="L270" s="16"/>
    </row>
    <row r="271" customFormat="false" ht="15" hidden="false" customHeight="false" outlineLevel="0" collapsed="false">
      <c r="A271" s="23" t="s">
        <v>40</v>
      </c>
      <c r="B271" s="23" t="n">
        <v>7</v>
      </c>
      <c r="C271" s="23" t="s">
        <v>68</v>
      </c>
      <c r="D271" s="23" t="n">
        <v>13</v>
      </c>
      <c r="E271" s="23" t="n">
        <v>13</v>
      </c>
      <c r="F271" s="23"/>
      <c r="G271" s="24" t="s">
        <v>321</v>
      </c>
      <c r="H271" s="15"/>
      <c r="I271" s="24"/>
      <c r="J271" s="23" t="n">
        <f aca="false">IF(H271&lt;&gt;"",H271,IF(C271="Slides",F271*Synthèse!$C$3,0))</f>
        <v>0</v>
      </c>
      <c r="K271" s="23" t="n">
        <f aca="false">SUMIFS($J$2:J271,$A$2:A271,A271)</f>
        <v>0</v>
      </c>
      <c r="L271" s="16"/>
    </row>
    <row r="272" customFormat="false" ht="15" hidden="false" customHeight="false" outlineLevel="0" collapsed="false">
      <c r="A272" s="17" t="s">
        <v>40</v>
      </c>
      <c r="B272" s="17" t="n">
        <v>8</v>
      </c>
      <c r="C272" s="17" t="s">
        <v>56</v>
      </c>
      <c r="D272" s="17" t="n">
        <v>14</v>
      </c>
      <c r="E272" s="17" t="n">
        <v>14</v>
      </c>
      <c r="F272" s="17"/>
      <c r="G272" s="18" t="s">
        <v>322</v>
      </c>
      <c r="H272" s="19"/>
      <c r="I272" s="18"/>
      <c r="J272" s="17" t="n">
        <f aca="false">IF(H272&lt;&gt;"",H272,IF(C272="Slides",F272*Synthèse!$C$3,0))</f>
        <v>0</v>
      </c>
      <c r="K272" s="17" t="n">
        <f aca="false">SUMIFS($J$2:J272,$A$2:A272,A272)</f>
        <v>0</v>
      </c>
      <c r="L272" s="20"/>
    </row>
    <row r="273" customFormat="false" ht="15" hidden="false" customHeight="false" outlineLevel="0" collapsed="false">
      <c r="A273" s="13" t="s">
        <v>40</v>
      </c>
      <c r="B273" s="13" t="n">
        <v>9</v>
      </c>
      <c r="C273" s="13" t="s">
        <v>19</v>
      </c>
      <c r="D273" s="13" t="n">
        <v>15</v>
      </c>
      <c r="E273" s="13" t="n">
        <v>16</v>
      </c>
      <c r="F273" s="13" t="n">
        <f aca="false">E273-D273+1</f>
        <v>2</v>
      </c>
      <c r="G273" s="14" t="s">
        <v>323</v>
      </c>
      <c r="H273" s="15"/>
      <c r="I273" s="14"/>
      <c r="J273" s="13" t="n">
        <f aca="false">IF(H273&lt;&gt;"",H273,IF(C273="Slides",F273*Synthèse!$C$3,0))</f>
        <v>0</v>
      </c>
      <c r="K273" s="13" t="n">
        <f aca="false">SUMIFS($J$2:J273,$A$2:A273,A273)</f>
        <v>0</v>
      </c>
      <c r="L273" s="16"/>
    </row>
    <row r="274" customFormat="false" ht="15" hidden="false" customHeight="false" outlineLevel="0" collapsed="false">
      <c r="A274" s="17" t="s">
        <v>40</v>
      </c>
      <c r="B274" s="17" t="n">
        <v>10</v>
      </c>
      <c r="C274" s="17" t="s">
        <v>56</v>
      </c>
      <c r="D274" s="17" t="n">
        <v>17</v>
      </c>
      <c r="E274" s="17" t="n">
        <v>17</v>
      </c>
      <c r="F274" s="17"/>
      <c r="G274" s="18" t="s">
        <v>324</v>
      </c>
      <c r="H274" s="19"/>
      <c r="I274" s="18"/>
      <c r="J274" s="17" t="n">
        <f aca="false">IF(H274&lt;&gt;"",H274,IF(C274="Slides",F274*Synthèse!$C$3,0))</f>
        <v>0</v>
      </c>
      <c r="K274" s="17" t="n">
        <f aca="false">SUMIFS($J$2:J274,$A$2:A274,A274)</f>
        <v>0</v>
      </c>
      <c r="L274" s="20"/>
    </row>
    <row r="275" customFormat="false" ht="23.85" hidden="false" customHeight="false" outlineLevel="0" collapsed="false">
      <c r="A275" s="13" t="s">
        <v>40</v>
      </c>
      <c r="B275" s="13" t="n">
        <v>11</v>
      </c>
      <c r="C275" s="13" t="s">
        <v>19</v>
      </c>
      <c r="D275" s="13" t="n">
        <v>18</v>
      </c>
      <c r="E275" s="13" t="n">
        <v>21</v>
      </c>
      <c r="F275" s="13" t="n">
        <f aca="false">E275-D275+1</f>
        <v>4</v>
      </c>
      <c r="G275" s="14" t="s">
        <v>325</v>
      </c>
      <c r="H275" s="15"/>
      <c r="I275" s="14"/>
      <c r="J275" s="13" t="n">
        <f aca="false">IF(H275&lt;&gt;"",H275,IF(C275="Slides",F275*Synthèse!$C$3,0))</f>
        <v>0</v>
      </c>
      <c r="K275" s="13" t="n">
        <f aca="false">SUMIFS($J$2:J275,$A$2:A275,A275)</f>
        <v>0</v>
      </c>
      <c r="L275" s="16"/>
    </row>
    <row r="276" customFormat="false" ht="15" hidden="false" customHeight="false" outlineLevel="0" collapsed="false">
      <c r="A276" s="23" t="s">
        <v>40</v>
      </c>
      <c r="B276" s="23" t="n">
        <v>12</v>
      </c>
      <c r="C276" s="23" t="s">
        <v>68</v>
      </c>
      <c r="D276" s="23" t="n">
        <v>22</v>
      </c>
      <c r="E276" s="23" t="n">
        <v>22</v>
      </c>
      <c r="F276" s="23"/>
      <c r="G276" s="24" t="s">
        <v>326</v>
      </c>
      <c r="H276" s="15"/>
      <c r="I276" s="24"/>
      <c r="J276" s="23" t="n">
        <f aca="false">IF(H276&lt;&gt;"",H276,IF(C276="Slides",F276*Synthèse!$C$3,0))</f>
        <v>0</v>
      </c>
      <c r="K276" s="23" t="n">
        <f aca="false">SUMIFS($J$2:J276,$A$2:A276,A276)</f>
        <v>0</v>
      </c>
      <c r="L276" s="16"/>
    </row>
    <row r="277" customFormat="false" ht="15" hidden="false" customHeight="false" outlineLevel="0" collapsed="false">
      <c r="A277" s="13" t="s">
        <v>40</v>
      </c>
      <c r="B277" s="13" t="n">
        <v>13</v>
      </c>
      <c r="C277" s="13" t="s">
        <v>19</v>
      </c>
      <c r="D277" s="13" t="n">
        <v>23</v>
      </c>
      <c r="E277" s="13" t="n">
        <v>24</v>
      </c>
      <c r="F277" s="13" t="n">
        <f aca="false">E277-D277+1</f>
        <v>2</v>
      </c>
      <c r="G277" s="14" t="s">
        <v>327</v>
      </c>
      <c r="H277" s="15"/>
      <c r="I277" s="14"/>
      <c r="J277" s="13" t="n">
        <f aca="false">IF(H277&lt;&gt;"",H277,IF(C277="Slides",F277*Synthèse!$C$3,0))</f>
        <v>0</v>
      </c>
      <c r="K277" s="13" t="n">
        <f aca="false">SUMIFS($J$2:J277,$A$2:A277,A277)</f>
        <v>0</v>
      </c>
      <c r="L277" s="16"/>
    </row>
    <row r="278" customFormat="false" ht="15" hidden="false" customHeight="false" outlineLevel="0" collapsed="false">
      <c r="A278" s="13" t="s">
        <v>41</v>
      </c>
      <c r="B278" s="13" t="n">
        <v>1</v>
      </c>
      <c r="C278" s="13" t="s">
        <v>19</v>
      </c>
      <c r="D278" s="13" t="n">
        <v>2</v>
      </c>
      <c r="E278" s="13" t="n">
        <v>2</v>
      </c>
      <c r="F278" s="13" t="n">
        <f aca="false">E278-D278+1</f>
        <v>1</v>
      </c>
      <c r="G278" s="14" t="s">
        <v>59</v>
      </c>
      <c r="H278" s="15"/>
      <c r="I278" s="14"/>
      <c r="J278" s="13" t="n">
        <f aca="false">IF(H278&lt;&gt;"",H278,IF(C278="Slides",F278*Synthèse!$C$3,0))</f>
        <v>0</v>
      </c>
      <c r="K278" s="13" t="n">
        <f aca="false">SUMIFS($J$2:J278,$A$2:A278,A278)</f>
        <v>0</v>
      </c>
      <c r="L278" s="16"/>
    </row>
    <row r="279" customFormat="false" ht="15" hidden="false" customHeight="false" outlineLevel="0" collapsed="false">
      <c r="A279" s="17" t="s">
        <v>41</v>
      </c>
      <c r="B279" s="17" t="n">
        <v>2</v>
      </c>
      <c r="C279" s="17" t="s">
        <v>56</v>
      </c>
      <c r="D279" s="17" t="n">
        <v>3</v>
      </c>
      <c r="E279" s="17" t="n">
        <v>3</v>
      </c>
      <c r="F279" s="17"/>
      <c r="G279" s="18" t="s">
        <v>328</v>
      </c>
      <c r="H279" s="19"/>
      <c r="I279" s="18"/>
      <c r="J279" s="17" t="n">
        <f aca="false">IF(H279&lt;&gt;"",H279,IF(C279="Slides",F279*Synthèse!$C$3,0))</f>
        <v>0</v>
      </c>
      <c r="K279" s="17" t="n">
        <f aca="false">SUMIFS($J$2:J279,$A$2:A279,A279)</f>
        <v>0</v>
      </c>
      <c r="L279" s="20"/>
    </row>
    <row r="280" customFormat="false" ht="23.85" hidden="false" customHeight="false" outlineLevel="0" collapsed="false">
      <c r="A280" s="13" t="s">
        <v>41</v>
      </c>
      <c r="B280" s="13" t="n">
        <v>3</v>
      </c>
      <c r="C280" s="13" t="s">
        <v>19</v>
      </c>
      <c r="D280" s="13" t="n">
        <v>4</v>
      </c>
      <c r="E280" s="13" t="n">
        <v>7</v>
      </c>
      <c r="F280" s="13" t="n">
        <f aca="false">E280-D280+1</f>
        <v>4</v>
      </c>
      <c r="G280" s="14" t="s">
        <v>329</v>
      </c>
      <c r="H280" s="15"/>
      <c r="I280" s="14"/>
      <c r="J280" s="13" t="n">
        <f aca="false">IF(H280&lt;&gt;"",H280,IF(C280="Slides",F280*Synthèse!$C$3,0))</f>
        <v>0</v>
      </c>
      <c r="K280" s="13" t="n">
        <f aca="false">SUMIFS($J$2:J280,$A$2:A280,A280)</f>
        <v>0</v>
      </c>
      <c r="L280" s="16"/>
    </row>
    <row r="281" customFormat="false" ht="15" hidden="false" customHeight="false" outlineLevel="0" collapsed="false">
      <c r="A281" s="17" t="s">
        <v>41</v>
      </c>
      <c r="B281" s="17" t="n">
        <v>4</v>
      </c>
      <c r="C281" s="17" t="s">
        <v>56</v>
      </c>
      <c r="D281" s="17" t="n">
        <v>8</v>
      </c>
      <c r="E281" s="17" t="n">
        <v>8</v>
      </c>
      <c r="F281" s="17"/>
      <c r="G281" s="18" t="s">
        <v>330</v>
      </c>
      <c r="H281" s="19"/>
      <c r="I281" s="18"/>
      <c r="J281" s="17" t="n">
        <f aca="false">IF(H281&lt;&gt;"",H281,IF(C281="Slides",F281*Synthèse!$C$3,0))</f>
        <v>0</v>
      </c>
      <c r="K281" s="17" t="n">
        <f aca="false">SUMIFS($J$2:J281,$A$2:A281,A281)</f>
        <v>0</v>
      </c>
      <c r="L281" s="20"/>
    </row>
    <row r="282" customFormat="false" ht="35.05" hidden="false" customHeight="false" outlineLevel="0" collapsed="false">
      <c r="A282" s="13" t="s">
        <v>41</v>
      </c>
      <c r="B282" s="13" t="n">
        <v>5</v>
      </c>
      <c r="C282" s="13" t="s">
        <v>19</v>
      </c>
      <c r="D282" s="13" t="n">
        <v>9</v>
      </c>
      <c r="E282" s="13" t="n">
        <v>18</v>
      </c>
      <c r="F282" s="13" t="n">
        <f aca="false">E282-D282+1</f>
        <v>10</v>
      </c>
      <c r="G282" s="14" t="s">
        <v>331</v>
      </c>
      <c r="H282" s="15"/>
      <c r="I282" s="14"/>
      <c r="J282" s="13" t="n">
        <f aca="false">IF(H282&lt;&gt;"",H282,IF(C282="Slides",F282*Synthèse!$C$3,0))</f>
        <v>0</v>
      </c>
      <c r="K282" s="13" t="n">
        <f aca="false">SUMIFS($J$2:J282,$A$2:A282,A282)</f>
        <v>0</v>
      </c>
      <c r="L282" s="16"/>
    </row>
    <row r="283" customFormat="false" ht="15" hidden="false" customHeight="false" outlineLevel="0" collapsed="false">
      <c r="A283" s="17" t="s">
        <v>41</v>
      </c>
      <c r="B283" s="17" t="n">
        <v>6</v>
      </c>
      <c r="C283" s="17" t="s">
        <v>56</v>
      </c>
      <c r="D283" s="17" t="n">
        <v>19</v>
      </c>
      <c r="E283" s="17" t="n">
        <v>19</v>
      </c>
      <c r="F283" s="17"/>
      <c r="G283" s="18" t="s">
        <v>332</v>
      </c>
      <c r="H283" s="19"/>
      <c r="I283" s="18"/>
      <c r="J283" s="17" t="n">
        <f aca="false">IF(H283&lt;&gt;"",H283,IF(C283="Slides",F283*Synthèse!$C$3,0))</f>
        <v>0</v>
      </c>
      <c r="K283" s="17" t="n">
        <f aca="false">SUMIFS($J$2:J283,$A$2:A283,A283)</f>
        <v>0</v>
      </c>
      <c r="L283" s="20"/>
    </row>
    <row r="284" customFormat="false" ht="23.85" hidden="false" customHeight="false" outlineLevel="0" collapsed="false">
      <c r="A284" s="13" t="s">
        <v>41</v>
      </c>
      <c r="B284" s="13" t="n">
        <v>7</v>
      </c>
      <c r="C284" s="13" t="s">
        <v>19</v>
      </c>
      <c r="D284" s="13" t="n">
        <v>20</v>
      </c>
      <c r="E284" s="13" t="n">
        <v>24</v>
      </c>
      <c r="F284" s="13" t="n">
        <f aca="false">E284-D284+1</f>
        <v>5</v>
      </c>
      <c r="G284" s="14" t="s">
        <v>333</v>
      </c>
      <c r="H284" s="15"/>
      <c r="I284" s="14"/>
      <c r="J284" s="13" t="n">
        <f aca="false">IF(H284&lt;&gt;"",H284,IF(C284="Slides",F284*Synthèse!$C$3,0))</f>
        <v>0</v>
      </c>
      <c r="K284" s="13" t="n">
        <f aca="false">SUMIFS($J$2:J284,$A$2:A284,A284)</f>
        <v>0</v>
      </c>
      <c r="L284" s="16"/>
    </row>
    <row r="285" customFormat="false" ht="15" hidden="false" customHeight="false" outlineLevel="0" collapsed="false">
      <c r="A285" s="17" t="s">
        <v>41</v>
      </c>
      <c r="B285" s="17" t="n">
        <v>8</v>
      </c>
      <c r="C285" s="17" t="s">
        <v>56</v>
      </c>
      <c r="D285" s="17" t="n">
        <v>25</v>
      </c>
      <c r="E285" s="17" t="n">
        <v>25</v>
      </c>
      <c r="F285" s="17"/>
      <c r="G285" s="18" t="s">
        <v>334</v>
      </c>
      <c r="H285" s="19"/>
      <c r="I285" s="18"/>
      <c r="J285" s="17" t="n">
        <f aca="false">IF(H285&lt;&gt;"",H285,IF(C285="Slides",F285*Synthèse!$C$3,0))</f>
        <v>0</v>
      </c>
      <c r="K285" s="17" t="n">
        <f aca="false">SUMIFS($J$2:J285,$A$2:A285,A285)</f>
        <v>0</v>
      </c>
      <c r="L285" s="20"/>
    </row>
    <row r="286" customFormat="false" ht="23.85" hidden="false" customHeight="false" outlineLevel="0" collapsed="false">
      <c r="A286" s="13" t="s">
        <v>41</v>
      </c>
      <c r="B286" s="13" t="n">
        <v>9</v>
      </c>
      <c r="C286" s="13" t="s">
        <v>19</v>
      </c>
      <c r="D286" s="13" t="n">
        <v>26</v>
      </c>
      <c r="E286" s="13" t="n">
        <v>31</v>
      </c>
      <c r="F286" s="13" t="n">
        <f aca="false">E286-D286+1</f>
        <v>6</v>
      </c>
      <c r="G286" s="14" t="s">
        <v>335</v>
      </c>
      <c r="H286" s="15"/>
      <c r="I286" s="14"/>
      <c r="J286" s="13" t="n">
        <f aca="false">IF(H286&lt;&gt;"",H286,IF(C286="Slides",F286*Synthèse!$C$3,0))</f>
        <v>0</v>
      </c>
      <c r="K286" s="13" t="n">
        <f aca="false">SUMIFS($J$2:J286,$A$2:A286,A286)</f>
        <v>0</v>
      </c>
      <c r="L286" s="16"/>
    </row>
    <row r="287" customFormat="false" ht="15" hidden="false" customHeight="false" outlineLevel="0" collapsed="false">
      <c r="A287" s="23" t="s">
        <v>41</v>
      </c>
      <c r="B287" s="23" t="n">
        <v>10</v>
      </c>
      <c r="C287" s="23" t="s">
        <v>68</v>
      </c>
      <c r="D287" s="23" t="n">
        <v>32</v>
      </c>
      <c r="E287" s="23" t="n">
        <v>32</v>
      </c>
      <c r="F287" s="23"/>
      <c r="G287" s="24" t="s">
        <v>326</v>
      </c>
      <c r="H287" s="15"/>
      <c r="I287" s="24"/>
      <c r="J287" s="23" t="n">
        <f aca="false">IF(H287&lt;&gt;"",H287,IF(C287="Slides",F287*Synthèse!$C$3,0))</f>
        <v>0</v>
      </c>
      <c r="K287" s="23" t="n">
        <f aca="false">SUMIFS($J$2:J287,$A$2:A287,A287)</f>
        <v>0</v>
      </c>
      <c r="L287" s="16"/>
    </row>
    <row r="288" customFormat="false" ht="15" hidden="false" customHeight="false" outlineLevel="0" collapsed="false">
      <c r="A288" s="13" t="s">
        <v>42</v>
      </c>
      <c r="B288" s="13" t="n">
        <v>1</v>
      </c>
      <c r="C288" s="13" t="s">
        <v>19</v>
      </c>
      <c r="D288" s="13" t="n">
        <v>2</v>
      </c>
      <c r="E288" s="13" t="n">
        <v>2</v>
      </c>
      <c r="F288" s="13" t="n">
        <f aca="false">E288-D288+1</f>
        <v>1</v>
      </c>
      <c r="G288" s="14" t="s">
        <v>59</v>
      </c>
      <c r="H288" s="15"/>
      <c r="I288" s="14"/>
      <c r="J288" s="13" t="n">
        <f aca="false">IF(H288&lt;&gt;"",H288,IF(C288="Slides",F288*Synthèse!$C$3,0))</f>
        <v>0</v>
      </c>
      <c r="K288" s="13" t="n">
        <f aca="false">SUMIFS($J$2:J288,$A$2:A288,A288)</f>
        <v>0</v>
      </c>
      <c r="L288" s="16"/>
    </row>
    <row r="289" customFormat="false" ht="15" hidden="false" customHeight="false" outlineLevel="0" collapsed="false">
      <c r="A289" s="17" t="s">
        <v>42</v>
      </c>
      <c r="B289" s="17" t="n">
        <v>2</v>
      </c>
      <c r="C289" s="17" t="s">
        <v>56</v>
      </c>
      <c r="D289" s="17" t="n">
        <v>3</v>
      </c>
      <c r="E289" s="17" t="n">
        <v>3</v>
      </c>
      <c r="F289" s="17"/>
      <c r="G289" s="18" t="s">
        <v>336</v>
      </c>
      <c r="H289" s="19"/>
      <c r="I289" s="18"/>
      <c r="J289" s="17" t="n">
        <f aca="false">IF(H289&lt;&gt;"",H289,IF(C289="Slides",F289*Synthèse!$C$3,0))</f>
        <v>0</v>
      </c>
      <c r="K289" s="17" t="n">
        <f aca="false">SUMIFS($J$2:J289,$A$2:A289,A289)</f>
        <v>0</v>
      </c>
      <c r="L289" s="20"/>
    </row>
    <row r="290" customFormat="false" ht="23.85" hidden="false" customHeight="false" outlineLevel="0" collapsed="false">
      <c r="A290" s="13" t="s">
        <v>42</v>
      </c>
      <c r="B290" s="13" t="n">
        <v>3</v>
      </c>
      <c r="C290" s="13" t="s">
        <v>19</v>
      </c>
      <c r="D290" s="13" t="n">
        <v>4</v>
      </c>
      <c r="E290" s="13" t="n">
        <v>7</v>
      </c>
      <c r="F290" s="13" t="n">
        <f aca="false">E290-D290+1</f>
        <v>4</v>
      </c>
      <c r="G290" s="14" t="s">
        <v>337</v>
      </c>
      <c r="H290" s="15"/>
      <c r="I290" s="14"/>
      <c r="J290" s="13" t="n">
        <f aca="false">IF(H290&lt;&gt;"",H290,IF(C290="Slides",F290*Synthèse!$C$3,0))</f>
        <v>0</v>
      </c>
      <c r="K290" s="13" t="n">
        <f aca="false">SUMIFS($J$2:J290,$A$2:A290,A290)</f>
        <v>0</v>
      </c>
      <c r="L290" s="16"/>
    </row>
    <row r="291" customFormat="false" ht="23.85" hidden="false" customHeight="false" outlineLevel="0" collapsed="false">
      <c r="A291" s="23" t="s">
        <v>42</v>
      </c>
      <c r="B291" s="23" t="n">
        <v>4</v>
      </c>
      <c r="C291" s="23" t="s">
        <v>68</v>
      </c>
      <c r="D291" s="23" t="n">
        <v>8</v>
      </c>
      <c r="E291" s="23" t="n">
        <v>8</v>
      </c>
      <c r="F291" s="23"/>
      <c r="G291" s="24" t="s">
        <v>338</v>
      </c>
      <c r="H291" s="15"/>
      <c r="I291" s="24"/>
      <c r="J291" s="23" t="n">
        <f aca="false">IF(H291&lt;&gt;"",H291,IF(C291="Slides",F291*Synthèse!$C$3,0))</f>
        <v>0</v>
      </c>
      <c r="K291" s="23" t="n">
        <f aca="false">SUMIFS($J$2:J291,$A$2:A291,A291)</f>
        <v>0</v>
      </c>
      <c r="L291" s="16"/>
    </row>
    <row r="292" customFormat="false" ht="15" hidden="false" customHeight="false" outlineLevel="0" collapsed="false">
      <c r="A292" s="17" t="s">
        <v>42</v>
      </c>
      <c r="B292" s="17" t="n">
        <v>5</v>
      </c>
      <c r="C292" s="17" t="s">
        <v>56</v>
      </c>
      <c r="D292" s="17" t="n">
        <v>9</v>
      </c>
      <c r="E292" s="17" t="n">
        <v>9</v>
      </c>
      <c r="F292" s="17"/>
      <c r="G292" s="18" t="s">
        <v>339</v>
      </c>
      <c r="H292" s="19"/>
      <c r="I292" s="18"/>
      <c r="J292" s="17" t="n">
        <f aca="false">IF(H292&lt;&gt;"",H292,IF(C292="Slides",F292*Synthèse!$C$3,0))</f>
        <v>0</v>
      </c>
      <c r="K292" s="17" t="n">
        <f aca="false">SUMIFS($J$2:J292,$A$2:A292,A292)</f>
        <v>0</v>
      </c>
      <c r="L292" s="20"/>
    </row>
    <row r="293" customFormat="false" ht="23.85" hidden="false" customHeight="false" outlineLevel="0" collapsed="false">
      <c r="A293" s="13" t="s">
        <v>42</v>
      </c>
      <c r="B293" s="13" t="n">
        <v>6</v>
      </c>
      <c r="C293" s="13" t="s">
        <v>19</v>
      </c>
      <c r="D293" s="13" t="n">
        <v>10</v>
      </c>
      <c r="E293" s="13" t="n">
        <v>12</v>
      </c>
      <c r="F293" s="13" t="n">
        <f aca="false">E293-D293+1</f>
        <v>3</v>
      </c>
      <c r="G293" s="14" t="s">
        <v>340</v>
      </c>
      <c r="H293" s="15"/>
      <c r="I293" s="14"/>
      <c r="J293" s="13" t="n">
        <f aca="false">IF(H293&lt;&gt;"",H293,IF(C293="Slides",F293*Synthèse!$C$3,0))</f>
        <v>0</v>
      </c>
      <c r="K293" s="13" t="n">
        <f aca="false">SUMIFS($J$2:J293,$A$2:A293,A293)</f>
        <v>0</v>
      </c>
      <c r="L293" s="16"/>
    </row>
    <row r="294" customFormat="false" ht="15" hidden="false" customHeight="false" outlineLevel="0" collapsed="false">
      <c r="A294" s="17" t="s">
        <v>42</v>
      </c>
      <c r="B294" s="17" t="n">
        <v>7</v>
      </c>
      <c r="C294" s="17" t="s">
        <v>56</v>
      </c>
      <c r="D294" s="17" t="n">
        <v>13</v>
      </c>
      <c r="E294" s="17" t="n">
        <v>13</v>
      </c>
      <c r="F294" s="17"/>
      <c r="G294" s="18" t="s">
        <v>341</v>
      </c>
      <c r="H294" s="19"/>
      <c r="I294" s="18"/>
      <c r="J294" s="17" t="n">
        <f aca="false">IF(H294&lt;&gt;"",H294,IF(C294="Slides",F294*Synthèse!$C$3,0))</f>
        <v>0</v>
      </c>
      <c r="K294" s="17" t="n">
        <f aca="false">SUMIFS($J$2:J294,$A$2:A294,A294)</f>
        <v>0</v>
      </c>
      <c r="L294" s="20"/>
    </row>
    <row r="295" customFormat="false" ht="23.85" hidden="false" customHeight="false" outlineLevel="0" collapsed="false">
      <c r="A295" s="13" t="s">
        <v>42</v>
      </c>
      <c r="B295" s="13" t="n">
        <v>8</v>
      </c>
      <c r="C295" s="13" t="s">
        <v>19</v>
      </c>
      <c r="D295" s="13" t="n">
        <v>14</v>
      </c>
      <c r="E295" s="13" t="n">
        <v>18</v>
      </c>
      <c r="F295" s="13" t="n">
        <f aca="false">E295-D295+1</f>
        <v>5</v>
      </c>
      <c r="G295" s="14" t="s">
        <v>342</v>
      </c>
      <c r="H295" s="15"/>
      <c r="I295" s="14"/>
      <c r="J295" s="13" t="n">
        <f aca="false">IF(H295&lt;&gt;"",H295,IF(C295="Slides",F295*Synthèse!$C$3,0))</f>
        <v>0</v>
      </c>
      <c r="K295" s="13" t="n">
        <f aca="false">SUMIFS($J$2:J295,$A$2:A295,A295)</f>
        <v>0</v>
      </c>
      <c r="L295" s="16"/>
    </row>
    <row r="296" customFormat="false" ht="15" hidden="false" customHeight="false" outlineLevel="0" collapsed="false">
      <c r="A296" s="17" t="s">
        <v>42</v>
      </c>
      <c r="B296" s="17" t="n">
        <v>9</v>
      </c>
      <c r="C296" s="17" t="s">
        <v>56</v>
      </c>
      <c r="D296" s="17" t="n">
        <v>19</v>
      </c>
      <c r="E296" s="17" t="n">
        <v>19</v>
      </c>
      <c r="F296" s="17"/>
      <c r="G296" s="18" t="s">
        <v>343</v>
      </c>
      <c r="H296" s="19"/>
      <c r="I296" s="18"/>
      <c r="J296" s="17" t="n">
        <f aca="false">IF(H296&lt;&gt;"",H296,IF(C296="Slides",F296*Synthèse!$C$3,0))</f>
        <v>0</v>
      </c>
      <c r="K296" s="17" t="n">
        <f aca="false">SUMIFS($J$2:J296,$A$2:A296,A296)</f>
        <v>0</v>
      </c>
      <c r="L296" s="20"/>
    </row>
    <row r="297" customFormat="false" ht="15" hidden="false" customHeight="false" outlineLevel="0" collapsed="false">
      <c r="A297" s="13" t="s">
        <v>42</v>
      </c>
      <c r="B297" s="13" t="n">
        <v>10</v>
      </c>
      <c r="C297" s="13" t="s">
        <v>19</v>
      </c>
      <c r="D297" s="13" t="n">
        <v>20</v>
      </c>
      <c r="E297" s="13" t="n">
        <v>20</v>
      </c>
      <c r="F297" s="13" t="n">
        <f aca="false">E297-D297+1</f>
        <v>1</v>
      </c>
      <c r="G297" s="14" t="s">
        <v>344</v>
      </c>
      <c r="H297" s="15"/>
      <c r="I297" s="14"/>
      <c r="J297" s="13" t="n">
        <f aca="false">IF(H297&lt;&gt;"",H297,IF(C297="Slides",F297*Synthèse!$C$3,0))</f>
        <v>0</v>
      </c>
      <c r="K297" s="13" t="n">
        <f aca="false">SUMIFS($J$2:J297,$A$2:A297,A297)</f>
        <v>0</v>
      </c>
      <c r="L297" s="16"/>
    </row>
    <row r="298" customFormat="false" ht="23.85" hidden="false" customHeight="false" outlineLevel="0" collapsed="false">
      <c r="A298" s="21" t="s">
        <v>42</v>
      </c>
      <c r="B298" s="21" t="n">
        <v>11</v>
      </c>
      <c r="C298" s="21" t="s">
        <v>64</v>
      </c>
      <c r="D298" s="21" t="n">
        <v>21</v>
      </c>
      <c r="E298" s="21" t="n">
        <v>21</v>
      </c>
      <c r="F298" s="21"/>
      <c r="G298" s="22" t="s">
        <v>345</v>
      </c>
      <c r="H298" s="15" t="n">
        <v>25</v>
      </c>
      <c r="I298" s="22" t="s">
        <v>346</v>
      </c>
      <c r="J298" s="21" t="n">
        <f aca="false">IF(H298&lt;&gt;"",H298,IF(C298="Slides",F298*Synthèse!$C$3,0))</f>
        <v>25</v>
      </c>
      <c r="K298" s="21" t="n">
        <f aca="false">SUMIFS($J$2:J298,$A$2:A298,A298)</f>
        <v>25</v>
      </c>
      <c r="L298" s="16"/>
    </row>
    <row r="299" customFormat="false" ht="15" hidden="false" customHeight="false" outlineLevel="0" collapsed="false">
      <c r="A299" s="13" t="s">
        <v>42</v>
      </c>
      <c r="B299" s="13" t="n">
        <v>12</v>
      </c>
      <c r="C299" s="13" t="s">
        <v>19</v>
      </c>
      <c r="D299" s="13" t="n">
        <v>22</v>
      </c>
      <c r="E299" s="13" t="n">
        <v>24</v>
      </c>
      <c r="F299" s="13" t="n">
        <f aca="false">E299-D299+1</f>
        <v>3</v>
      </c>
      <c r="G299" s="14" t="s">
        <v>347</v>
      </c>
      <c r="H299" s="15"/>
      <c r="I299" s="14"/>
      <c r="J299" s="13" t="n">
        <f aca="false">IF(H299&lt;&gt;"",H299,IF(C299="Slides",F299*Synthèse!$C$3,0))</f>
        <v>0</v>
      </c>
      <c r="K299" s="13" t="n">
        <f aca="false">SUMIFS($J$2:J299,$A$2:A299,A299)</f>
        <v>25</v>
      </c>
      <c r="L299" s="16"/>
    </row>
    <row r="300" customFormat="false" ht="15" hidden="false" customHeight="false" outlineLevel="0" collapsed="false">
      <c r="A300" s="23" t="s">
        <v>42</v>
      </c>
      <c r="B300" s="23" t="n">
        <v>13</v>
      </c>
      <c r="C300" s="23" t="s">
        <v>68</v>
      </c>
      <c r="D300" s="23" t="n">
        <v>25</v>
      </c>
      <c r="E300" s="23" t="n">
        <v>25</v>
      </c>
      <c r="F300" s="23"/>
      <c r="G300" s="24" t="s">
        <v>348</v>
      </c>
      <c r="H300" s="15"/>
      <c r="I300" s="24"/>
      <c r="J300" s="23" t="n">
        <f aca="false">IF(H300&lt;&gt;"",H300,IF(C300="Slides",F300*Synthèse!$C$3,0))</f>
        <v>0</v>
      </c>
      <c r="K300" s="23" t="n">
        <f aca="false">SUMIFS($J$2:J300,$A$2:A300,A300)</f>
        <v>25</v>
      </c>
      <c r="L300" s="16"/>
    </row>
    <row r="301" customFormat="false" ht="15" hidden="false" customHeight="false" outlineLevel="0" collapsed="false">
      <c r="A301" s="13" t="s">
        <v>42</v>
      </c>
      <c r="B301" s="13" t="n">
        <v>14</v>
      </c>
      <c r="C301" s="13" t="s">
        <v>19</v>
      </c>
      <c r="D301" s="13" t="n">
        <v>26</v>
      </c>
      <c r="E301" s="13" t="n">
        <v>26</v>
      </c>
      <c r="F301" s="13" t="n">
        <f aca="false">E301-D301+1</f>
        <v>1</v>
      </c>
      <c r="G301" s="14" t="s">
        <v>155</v>
      </c>
      <c r="H301" s="15"/>
      <c r="I301" s="14"/>
      <c r="J301" s="13" t="n">
        <f aca="false">IF(H301&lt;&gt;"",H301,IF(C301="Slides",F301*Synthèse!$C$3,0))</f>
        <v>0</v>
      </c>
      <c r="K301" s="13" t="n">
        <f aca="false">SUMIFS($J$2:J301,$A$2:A301,A301)</f>
        <v>25</v>
      </c>
      <c r="L301" s="16"/>
    </row>
  </sheetData>
  <autoFilter ref="A1:L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2026-10-18T18:10:36Z</dcterms:created>
  <dc:creator>openpyxl</dc:creator>
  <dc:description/>
  <dc:language>en-US</dc:language>
  <cp:lastModifiedBy/>
  <dcterms:modified xsi:type="dcterms:W3CDTF">2026-10-18T18:10:36Z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