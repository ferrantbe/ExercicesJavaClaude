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ifs examen" sheetId="1" state="visible" r:id="rId3"/>
    <sheet name="Modules" sheetId="2" state="visible" r:id="rId4"/>
    <sheet name="Exercices" sheetId="3" state="visible" r:id="rId5"/>
    <sheet name="Objectifs par module" sheetId="4" state="visible" r:id="rId6"/>
    <sheet name="Couverture" sheetId="5" state="visible" r:id="rId7"/>
    <sheet name="Verifications" sheetId="6" state="visible" r:id="rId8"/>
  </sheets>
  <definedNames>
    <definedName function="false" hidden="true" localSheetId="2" name="_xlnm._FilterDatabase" vbProcedure="false">Exercices!$A$4:$F$83</definedName>
    <definedName function="false" hidden="true" localSheetId="1" name="_xlnm._FilterDatabase" vbProcedure="false">Modules!$A$4:$K$22</definedName>
    <definedName function="false" hidden="true" localSheetId="3" name="_xlnm._FilterDatabase" vbProcedure="false">'Objectifs par module'!$A$4:$E$81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<sst xmlns="http://schemas.openxmlformats.org/spreadsheetml/2006/main" count="1193" uniqueCount="529">
  <si>
    <t xml:space="preserve">Objectifs de l'unité d'enseignement</t>
  </si>
  <si>
    <t xml:space="preserve">Recopiés des deux premières pages de l'examen de juin 2025. Ce sont eux qui font foi.</t>
  </si>
  <si>
    <t xml:space="preserve">Code</t>
  </si>
  <si>
    <t xml:space="preserve">Compétence / objectif</t>
  </si>
  <si>
    <t xml:space="preserve">Question d'examen</t>
  </si>
  <si>
    <t xml:space="preserve">A</t>
  </si>
  <si>
    <t xml:space="preserve">Concevoir, installer et utiliser des objets appropriés à la solution</t>
  </si>
  <si>
    <t xml:space="preserve">A.1</t>
  </si>
  <si>
    <t xml:space="preserve">Pouvoir définir et implémenter des classes et des objets Java simples</t>
  </si>
  <si>
    <t xml:space="preserve">Q1, Q2, Q4</t>
  </si>
  <si>
    <t xml:space="preserve">A.2</t>
  </si>
  <si>
    <t xml:space="preserve">Pouvoir compléter des classes Java implémentées par un tiers</t>
  </si>
  <si>
    <t xml:space="preserve">Q3, Q4</t>
  </si>
  <si>
    <t xml:space="preserve">A.3</t>
  </si>
  <si>
    <t xml:space="preserve">Pouvoir utiliser et interagir avec des classes et objets Java existants</t>
  </si>
  <si>
    <t xml:space="preserve">Q2</t>
  </si>
  <si>
    <t xml:space="preserve">A.4</t>
  </si>
  <si>
    <t xml:space="preserve">Pouvoir dériver de nouvelles classes par héritage d'une classe Java existante</t>
  </si>
  <si>
    <t xml:space="preserve">Q4</t>
  </si>
  <si>
    <t xml:space="preserve">A.5</t>
  </si>
  <si>
    <t xml:space="preserve">Pouvoir utiliser les classes du JDK pour accéder à des fichiers et pour réaliser une application disposant d'une interface graphique simple (JavaFX)</t>
  </si>
  <si>
    <t xml:space="preserve">Q5</t>
  </si>
  <si>
    <t xml:space="preserve">A.6</t>
  </si>
  <si>
    <t xml:space="preserve">Pouvoir démontrer, au travers d'un exercice simple, sa compréhension du concept et du fonctionnement des expressions lambda introduites par Java 8</t>
  </si>
  <si>
    <t xml:space="preserve">—</t>
  </si>
  <si>
    <t xml:space="preserve">B</t>
  </si>
  <si>
    <t xml:space="preserve">Concevoir et mettre en œuvre une procédure de test partiel et intégré</t>
  </si>
  <si>
    <t xml:space="preserve">B.1</t>
  </si>
  <si>
    <t xml:space="preserve">Pouvoir implémenter des classes de test simples (JUnit) sur base d'une classe implémentée par un tiers et/ou de spécifications techniques</t>
  </si>
  <si>
    <t xml:space="preserve">Q3</t>
  </si>
  <si>
    <t xml:space="preserve">B.2</t>
  </si>
  <si>
    <t xml:space="preserve">Pouvoir implémenter des classes et objets Java simples et les classes de test correspondantes</t>
  </si>
  <si>
    <t xml:space="preserve">B.3</t>
  </si>
  <si>
    <t xml:space="preserve">Pouvoir, par l'exécution d'une batterie de tests (JUnit) implémentée par un tiers, repérer et débugger des problèmes simples dans des classes Java implémentées par un tiers</t>
  </si>
  <si>
    <t xml:space="preserve">C</t>
  </si>
  <si>
    <t xml:space="preserve">Justifier sa méthode de résolution ainsi que ses choix conceptuels et méthodologiques</t>
  </si>
  <si>
    <t xml:space="preserve">C.1</t>
  </si>
  <si>
    <t xml:space="preserve">Pouvoir justifier les choix de types d'attributs, d'appartenance des attributs et méthodes à l'une ou l'autre classe, et des interfaces de communication entre classes</t>
  </si>
  <si>
    <t xml:space="preserve">toutes</t>
  </si>
  <si>
    <t xml:space="preserve">C.2</t>
  </si>
  <si>
    <t xml:space="preserve">Pouvoir justifier ses choix quant aux tests implémentés</t>
  </si>
  <si>
    <t xml:space="preserve">Critères du degré de maîtrise — transversaux</t>
  </si>
  <si>
    <t xml:space="preserve">D.1</t>
  </si>
  <si>
    <t xml:space="preserve">La rigueur et le respect des spécificités du langage de programmation utilisé</t>
  </si>
  <si>
    <t xml:space="preserve">D.2</t>
  </si>
  <si>
    <t xml:space="preserve">Le style de programmation</t>
  </si>
  <si>
    <t xml:space="preserve">D.3</t>
  </si>
  <si>
    <t xml:space="preserve">L'adéquation et la pertinence de la solution développée</t>
  </si>
  <si>
    <t xml:space="preserve">D.4</t>
  </si>
  <si>
    <t xml:space="preserve">Le respect du temps alloué</t>
  </si>
  <si>
    <t xml:space="preserve">D.5</t>
  </si>
  <si>
    <t xml:space="preserve">La clarté et la précision dans l'utilisation du vocabulaire technique</t>
  </si>
  <si>
    <t xml:space="preserve">D.6</t>
  </si>
  <si>
    <t xml:space="preserve">L'utilisation de commentaires dans les codes, facilitant sa lecture</t>
  </si>
  <si>
    <t xml:space="preserve">D.7</t>
  </si>
  <si>
    <t xml:space="preserve">L'utilisation de commentaires Javadoc appropriés</t>
  </si>
  <si>
    <t xml:space="preserve">D.8</t>
  </si>
  <si>
    <t xml:space="preserve">Le degré d'autonomie atteint</t>
  </si>
  <si>
    <t xml:space="preserve">D.9</t>
  </si>
  <si>
    <t xml:space="preserve">L'utilisation appropriée des mécanismes d'héritage, de l'encapsulation public/protected/private, de renvoi de résultat vs modification de l'état interne</t>
  </si>
  <si>
    <t xml:space="preserve">D.10</t>
  </si>
  <si>
    <t xml:space="preserve">La correspondance exacte de la solution à l'énoncé initial</t>
  </si>
  <si>
    <t xml:space="preserve">D.11</t>
  </si>
  <si>
    <t xml:space="preserve">La correction du code, absence de bugs</t>
  </si>
  <si>
    <t xml:space="preserve">D.12</t>
  </si>
  <si>
    <t xml:space="preserve">La capacité à utiliser la documentation (javadoc) pour comprendre les spécifications d'objets du JDK</t>
  </si>
  <si>
    <t xml:space="preserve">Les modules, leur priorité et leurs supports</t>
  </si>
  <si>
    <t xml:space="preserve">Organisés par module et non par séance : la répartition dans le calendrier se décide ailleurs, dans outils/livraisons.json, sans renommer un seul package.</t>
  </si>
  <si>
    <t xml:space="preserve">Module</t>
  </si>
  <si>
    <t xml:space="preserve">Titre</t>
  </si>
  <si>
    <t xml:space="preserve">MoSCoW</t>
  </si>
  <si>
    <t xml:space="preserve">Deck(s)</t>
  </si>
  <si>
    <t xml:space="preserve">Exercices</t>
  </si>
  <si>
    <t xml:space="preserve">Tests</t>
  </si>
  <si>
    <t xml:space="preserve">Fascicule</t>
  </si>
  <si>
    <t xml:space="preserve">Démo de code</t>
  </si>
  <si>
    <t xml:space="preserve">Renvois mémento</t>
  </si>
  <si>
    <t xml:space="preserve">État</t>
  </si>
  <si>
    <t xml:space="preserve">Trous</t>
  </si>
  <si>
    <t xml:space="preserve">POO</t>
  </si>
  <si>
    <t xml:space="preserve">Classes, objets et encapsulation</t>
  </si>
  <si>
    <t xml:space="preserve">Must</t>
  </si>
  <si>
    <t xml:space="preserve">01</t>
  </si>
  <si>
    <t xml:space="preserve">oui</t>
  </si>
  <si>
    <t xml:space="preserve">écrite</t>
  </si>
  <si>
    <t xml:space="preserve">livré</t>
  </si>
  <si>
    <t xml:space="preserve">STA</t>
  </si>
  <si>
    <t xml:space="preserve">static : constantes, champs et méthodes de classe</t>
  </si>
  <si>
    <t xml:space="preserve">Should</t>
  </si>
  <si>
    <t xml:space="preserve">04</t>
  </si>
  <si>
    <t xml:space="preserve">TMP</t>
  </si>
  <si>
    <t xml:space="preserve">Dates et heures</t>
  </si>
  <si>
    <t xml:space="preserve">02</t>
  </si>
  <si>
    <t xml:space="preserve">PKG</t>
  </si>
  <si>
    <t xml:space="preserve">Packages et visibilité</t>
  </si>
  <si>
    <t xml:space="preserve">TAB</t>
  </si>
  <si>
    <t xml:space="preserve">Tableaux, boucles, ternaire</t>
  </si>
  <si>
    <t xml:space="preserve">ENU</t>
  </si>
  <si>
    <t xml:space="preserve">Énumérations et records</t>
  </si>
  <si>
    <t xml:space="preserve">ABS</t>
  </si>
  <si>
    <t xml:space="preserve">Classes abstraites</t>
  </si>
  <si>
    <t xml:space="preserve">03</t>
  </si>
  <si>
    <t xml:space="preserve">ITF</t>
  </si>
  <si>
    <t xml:space="preserve">Interfaces</t>
  </si>
  <si>
    <t xml:space="preserve">COL</t>
  </si>
  <si>
    <t xml:space="preserve">Collections</t>
  </si>
  <si>
    <t xml:space="preserve">05</t>
  </si>
  <si>
    <t xml:space="preserve">EXC</t>
  </si>
  <si>
    <t xml:space="preserve">Exceptions</t>
  </si>
  <si>
    <t xml:space="preserve">06</t>
  </si>
  <si>
    <t xml:space="preserve">JUN</t>
  </si>
  <si>
    <t xml:space="preserve">Tests unitaires JUnit</t>
  </si>
  <si>
    <t xml:space="preserve">07</t>
  </si>
  <si>
    <t xml:space="preserve">GEN</t>
  </si>
  <si>
    <t xml:space="preserve">Types génériques</t>
  </si>
  <si>
    <t xml:space="preserve">08a</t>
  </si>
  <si>
    <t xml:space="preserve">LAM</t>
  </si>
  <si>
    <t xml:space="preserve">Lambdas et références de méthodes</t>
  </si>
  <si>
    <t xml:space="preserve">08b</t>
  </si>
  <si>
    <t xml:space="preserve">FX</t>
  </si>
  <si>
    <t xml:space="preserve">JavaFX et gestion d'événements</t>
  </si>
  <si>
    <t xml:space="preserve">09, 10, 11</t>
  </si>
  <si>
    <t xml:space="preserve">livré — sans classes de test, par nature</t>
  </si>
  <si>
    <t xml:space="preserve">FIC</t>
  </si>
  <si>
    <t xml:space="preserve">Fichiers</t>
  </si>
  <si>
    <t xml:space="preserve">12</t>
  </si>
  <si>
    <t xml:space="preserve">livré — passé Must le 11/10 : vaut un sixième de l'examen</t>
  </si>
  <si>
    <t xml:space="preserve">REC</t>
  </si>
  <si>
    <t xml:space="preserve">Exercices récapitulatifs</t>
  </si>
  <si>
    <t xml:space="preserve">Could</t>
  </si>
  <si>
    <t xml:space="preserve">13</t>
  </si>
  <si>
    <t xml:space="preserve">non</t>
  </si>
  <si>
    <t xml:space="preserve">examen d'une année précédente + récapitulatifs à écrire</t>
  </si>
  <si>
    <t xml:space="preserve">THR</t>
  </si>
  <si>
    <t xml:space="preserve">Threads</t>
  </si>
  <si>
    <t xml:space="preserve">Won't</t>
  </si>
  <si>
    <t xml:space="preserve">99</t>
  </si>
  <si>
    <t xml:space="preserve">en suspens</t>
  </si>
  <si>
    <t xml:space="preserve">GAM</t>
  </si>
  <si>
    <t xml:space="preserve">Fil rouge GameHub</t>
  </si>
  <si>
    <t xml:space="preserve">01, 02, 03, 04, 06</t>
  </si>
  <si>
    <t xml:space="preserve">G.1 à G.30 — tout est corrigé sauf G.10, remplacé</t>
  </si>
  <si>
    <t xml:space="preserve">TOTAL</t>
  </si>
  <si>
    <t xml:space="preserve">Comment lire</t>
  </si>
  <si>
    <t xml:space="preserve">MoSCoW du module : ce qu'on garde si l'année dérape, ce qu'on ajoute s'il reste du temps.</t>
  </si>
  <si>
    <t xml:space="preserve">« Démo de code » : un exemple construit en direct dans IntelliJ pendant le cours. Elles vivent dans le module demos/, et leur scénario dans _demos/. Douze sur seize existent.</t>
  </si>
  <si>
    <t xml:space="preserve">« Renvois mémento » : nombre de règles du mémento Clean Code citées dans le fascicule. Dix-sept des trente-quatre règles sont citées au moins une fois.</t>
  </si>
  <si>
    <t xml:space="preserve">La colonne Trous compte les supports absents : fascicule, démo de code, et un zéro de renvois.</t>
  </si>
  <si>
    <t xml:space="preserve">Les exercices, un par ligne</t>
  </si>
  <si>
    <t xml:space="preserve">Colonne MoSCoW modifiable : elle dit quoi retirer si le temps manque, et quoi ajouter s'il en reste.</t>
  </si>
  <si>
    <t xml:space="preserve">Intitulé</t>
  </si>
  <si>
    <t xml:space="preserve">Objectif examen</t>
  </si>
  <si>
    <t xml:space="preserve">POO.1</t>
  </si>
  <si>
    <t xml:space="preserve">Classe Personne, champs publics</t>
  </si>
  <si>
    <t xml:space="preserve">POO.2</t>
  </si>
  <si>
    <t xml:space="preserve">Encapsulation, la question du champ age</t>
  </si>
  <si>
    <t xml:space="preserve">POO.3</t>
  </si>
  <si>
    <t xml:space="preserve">Supprimer la donnée redondante</t>
  </si>
  <si>
    <t xml:space="preserve">POO.4</t>
  </si>
  <si>
    <t xml:space="preserve">Passage de paramètres, valeur et référence</t>
  </si>
  <si>
    <t xml:space="preserve">POO.5</t>
  </si>
  <si>
    <t xml:space="preserve">Séparer le calcul du dialogue</t>
  </si>
  <si>
    <t xml:space="preserve">STA.1</t>
  </si>
  <si>
    <t xml:space="preserve">Constantes et compteur d'instances</t>
  </si>
  <si>
    <t xml:space="preserve">STA.2</t>
  </si>
  <si>
    <t xml:space="preserve">Méthode statique et fabrique</t>
  </si>
  <si>
    <t xml:space="preserve">TMP.1</t>
  </si>
  <si>
    <t xml:space="preserve">Mesurer un écart entre deux dates</t>
  </si>
  <si>
    <t xml:space="preserve">TMP.2</t>
  </si>
  <si>
    <t xml:space="preserve">Les dates sont immuables</t>
  </si>
  <si>
    <t xml:space="preserve">TMP.3</t>
  </si>
  <si>
    <t xml:space="preserve">Compter des secondes : date ou instant</t>
  </si>
  <si>
    <t xml:space="preserve">TMP.4</t>
  </si>
  <si>
    <t xml:space="preserve">L'arithmétique des mois</t>
  </si>
  <si>
    <t xml:space="preserve">TMP.5</t>
  </si>
  <si>
    <t xml:space="preserve">Period ou Duration</t>
  </si>
  <si>
    <t xml:space="preserve">TMP.6</t>
  </si>
  <si>
    <t xml:space="preserve">Formater et analyser une date</t>
  </si>
  <si>
    <t xml:space="preserve">PKG.1</t>
  </si>
  <si>
    <t xml:space="preserve">Ce que voit une classe du même package</t>
  </si>
  <si>
    <t xml:space="preserve">PKG.2</t>
  </si>
  <si>
    <t xml:space="preserve">Ce que voit une classe d'un autre package</t>
  </si>
  <si>
    <t xml:space="preserve">PKG.3</t>
  </si>
  <si>
    <t xml:space="preserve">Réduire la surface publique</t>
  </si>
  <si>
    <t xml:space="preserve">PKG.4</t>
  </si>
  <si>
    <t xml:space="preserve">Découper un programme en packages</t>
  </si>
  <si>
    <t xml:space="preserve">PKG.5</t>
  </si>
  <si>
    <t xml:space="preserve">protected, après l'héritage</t>
  </si>
  <si>
    <t xml:space="preserve">TAB.1</t>
  </si>
  <si>
    <t xml:space="preserve">Une matrice carrée</t>
  </si>
  <si>
    <t xml:space="preserve">TAB.2</t>
  </si>
  <si>
    <t xml:space="preserve">Le triangle de Pascal</t>
  </si>
  <si>
    <t xml:space="preserve">TAB.3</t>
  </si>
  <si>
    <t xml:space="preserve">L'opérateur ternaire</t>
  </si>
  <si>
    <t xml:space="preserve">TAB.4</t>
  </si>
  <si>
    <t xml:space="preserve">Des objets qui se connaissent</t>
  </si>
  <si>
    <t xml:space="preserve">ENU.1</t>
  </si>
  <si>
    <t xml:space="preserve">Un feu de signalisation</t>
  </si>
  <si>
    <t xml:space="preserve">ENU.2</t>
  </si>
  <si>
    <t xml:space="preserve">Une température, deux unités</t>
  </si>
  <si>
    <t xml:space="preserve">ENU.3</t>
  </si>
  <si>
    <t xml:space="preserve">Un jeu de cartes</t>
  </si>
  <si>
    <t xml:space="preserve">ENU.4</t>
  </si>
  <si>
    <t xml:space="preserve">Un record d'étudiant</t>
  </si>
  <si>
    <t xml:space="preserve">ABS.1</t>
  </si>
  <si>
    <t xml:space="preserve">Des formes géométriques</t>
  </si>
  <si>
    <t xml:space="preserve">ABS.2</t>
  </si>
  <si>
    <t xml:space="preserve">Des animaux qui font du bruit</t>
  </si>
  <si>
    <t xml:space="preserve">ABS.3</t>
  </si>
  <si>
    <t xml:space="preserve">Deux banques, un seul traitement</t>
  </si>
  <si>
    <t xml:space="preserve">ABS.4</t>
  </si>
  <si>
    <t xml:space="preserve">Hiérarchie Personnel (ancien exercice 21)</t>
  </si>
  <si>
    <t xml:space="preserve">ABS.5</t>
  </si>
  <si>
    <t xml:space="preserve">Tout écrire, à partir de rien — sans squelette</t>
  </si>
  <si>
    <t xml:space="preserve">ITF.1</t>
  </si>
  <si>
    <t xml:space="preserve">Une interface et deux implémentations</t>
  </si>
  <si>
    <t xml:space="preserve">ITF.2</t>
  </si>
  <si>
    <t xml:space="preserve">Payer en ligne</t>
  </si>
  <si>
    <t xml:space="preserve">ITF.3</t>
  </si>
  <si>
    <t xml:space="preserve">Des formes qui se déplacent et tournent</t>
  </si>
  <si>
    <t xml:space="preserve">ITF.4</t>
  </si>
  <si>
    <t xml:space="preserve">Prévenir sans connaître (Observateur)</t>
  </si>
  <si>
    <t xml:space="preserve">COL.1</t>
  </si>
  <si>
    <t xml:space="preserve">Deux façons d'être trié</t>
  </si>
  <si>
    <t xml:space="preserve">COL.2</t>
  </si>
  <si>
    <t xml:space="preserve">Un annuaire</t>
  </si>
  <si>
    <t xml:space="preserve">COL.3</t>
  </si>
  <si>
    <t xml:space="preserve">Lire des noms et les trier</t>
  </si>
  <si>
    <t xml:space="preserve">COL.4</t>
  </si>
  <si>
    <t xml:space="preserve">Compter les mots d'un texte</t>
  </si>
  <si>
    <t xml:space="preserve">COL.5</t>
  </si>
  <si>
    <t xml:space="preserve">Filtrer avec un prédicat</t>
  </si>
  <si>
    <t xml:space="preserve">COL.6</t>
  </si>
  <si>
    <t xml:space="preserve">Un ensemble sans doublons</t>
  </si>
  <si>
    <t xml:space="preserve">COL.7</t>
  </si>
  <si>
    <t xml:space="preserve">Une table de collections</t>
  </si>
  <si>
    <t xml:space="preserve">EXC.1</t>
  </si>
  <si>
    <t xml:space="preserve">Lever sa propre exception</t>
  </si>
  <si>
    <t xml:space="preserve">EXC.2</t>
  </si>
  <si>
    <t xml:space="preserve">Un compte, sans exception</t>
  </si>
  <si>
    <t xml:space="preserve">EXC.3</t>
  </si>
  <si>
    <t xml:space="preserve">Un numéro de compte vérifié</t>
  </si>
  <si>
    <t xml:space="preserve">EXC.4</t>
  </si>
  <si>
    <t xml:space="preserve">Provoquer, puis traiter</t>
  </si>
  <si>
    <t xml:space="preserve">EXC.5</t>
  </si>
  <si>
    <t xml:space="preserve">Lire une trace</t>
  </si>
  <si>
    <t xml:space="preserve">JUN.1</t>
  </si>
  <si>
    <t xml:space="preserve">Le test comme spécification</t>
  </si>
  <si>
    <t xml:space="preserve">JUN.2</t>
  </si>
  <si>
    <t xml:space="preserve">Détecter un défaut</t>
  </si>
  <si>
    <t xml:space="preserve">JUN.3</t>
  </si>
  <si>
    <t xml:space="preserve">Écrire une classe de test</t>
  </si>
  <si>
    <t xml:space="preserve">GEN.1</t>
  </si>
  <si>
    <t xml:space="preserve">Une paire, un seul type</t>
  </si>
  <si>
    <t xml:space="preserve">GEN.2</t>
  </si>
  <si>
    <t xml:space="preserve">Un couple, deux types</t>
  </si>
  <si>
    <t xml:space="preserve">GEN.3</t>
  </si>
  <si>
    <t xml:space="preserve">Deux sortes de triplets</t>
  </si>
  <si>
    <t xml:space="preserve">GEN.4</t>
  </si>
  <si>
    <t xml:space="preserve">Le joker</t>
  </si>
  <si>
    <t xml:space="preserve">GEN.5</t>
  </si>
  <si>
    <t xml:space="preserve">Une méthode générique</t>
  </si>
  <si>
    <t xml:space="preserve">GEN.6</t>
  </si>
  <si>
    <t xml:space="preserve">Hériter d'une classe générique</t>
  </si>
  <si>
    <t xml:space="preserve">LAM.1</t>
  </si>
  <si>
    <t xml:space="preserve">Un tableau de comportements</t>
  </si>
  <si>
    <t xml:space="preserve">LAM.2</t>
  </si>
  <si>
    <t xml:space="preserve">Écrire son interface fonctionnelle</t>
  </si>
  <si>
    <t xml:space="preserve">LAM.3</t>
  </si>
  <si>
    <t xml:space="preserve">Celle du JDK, et les références de méthodes</t>
  </si>
  <si>
    <t xml:space="preserve">FX.1</t>
  </si>
  <si>
    <t xml:space="preserve">Un compteur de participants (ex. 47)</t>
  </si>
  <si>
    <t xml:space="preserve">FX.2</t>
  </si>
  <si>
    <t xml:space="preserve">Un bouton Reset (ex. 48)</t>
  </si>
  <si>
    <t xml:space="preserve">FX.3</t>
  </si>
  <si>
    <t xml:space="preserve">Deux compteurs et une mise en page (ex. 49)</t>
  </si>
  <si>
    <t xml:space="preserve">FX.4</t>
  </si>
  <si>
    <t xml:space="preserve">Compter au clavier, touches 1, 2 et 0 (ex. 50)</t>
  </si>
  <si>
    <t xml:space="preserve">FX.5</t>
  </si>
  <si>
    <t xml:space="preserve">Filtre, gestionnaires et consume (ex. 46)</t>
  </si>
  <si>
    <t xml:space="preserve">FX.6</t>
  </si>
  <si>
    <t xml:space="preserve">Écouter la propriété d'un TextField (ex. 51)</t>
  </si>
  <si>
    <t xml:space="preserve">FX.7</t>
  </si>
  <si>
    <t xml:space="preserve">Un Slider et un Label qui suit (ex. 52)</t>
  </si>
  <si>
    <t xml:space="preserve">FX.8</t>
  </si>
  <si>
    <t xml:space="preserve">Lier plutôt qu'écouter : bindings</t>
  </si>
  <si>
    <t xml:space="preserve">FX.9</t>
  </si>
  <si>
    <t xml:space="preserve">Une calculatrice, en MVC et FXML</t>
  </si>
  <si>
    <t xml:space="preserve">FX.10</t>
  </si>
  <si>
    <t xml:space="preserve">Le guichet : threads et Platform.runLater</t>
  </si>
  <si>
    <t xml:space="preserve">hors examen</t>
  </si>
  <si>
    <t xml:space="preserve">FIC.1</t>
  </si>
  <si>
    <t xml:space="preserve">Trois classes qui se connaissent</t>
  </si>
  <si>
    <t xml:space="preserve">FIC.2</t>
  </si>
  <si>
    <t xml:space="preserve">Enregistrer des objets</t>
  </si>
  <si>
    <t xml:space="preserve">FIC.3</t>
  </si>
  <si>
    <t xml:space="preserve">Enregistrer du texte</t>
  </si>
  <si>
    <t xml:space="preserve">REC.*</t>
  </si>
  <si>
    <t xml:space="preserve">Récapitulatifs — format et place à décider</t>
  </si>
  <si>
    <t xml:space="preserve">en attente</t>
  </si>
  <si>
    <t xml:space="preserve">G.1–G.9</t>
  </si>
  <si>
    <t xml:space="preserve">Le modèle : joueur, partie, énumérations, record</t>
  </si>
  <si>
    <t xml:space="preserve">corrigé</t>
  </si>
  <si>
    <t xml:space="preserve">G.10–G.13</t>
  </si>
  <si>
    <t xml:space="preserve">Classe abstraite et patron Observateur</t>
  </si>
  <si>
    <t xml:space="preserve">G.14–G.20</t>
  </si>
  <si>
    <t xml:space="preserve">Interface Jeu, fabrique, Nim, stratégies</t>
  </si>
  <si>
    <t xml:space="preserve">G.21–G.27</t>
  </si>
  <si>
    <t xml:space="preserve">Le jeu de bataille</t>
  </si>
  <si>
    <t xml:space="preserve">G.21</t>
  </si>
  <si>
    <t xml:space="preserve">Un jeu qui se joue seul</t>
  </si>
  <si>
    <t xml:space="preserve">G.22</t>
  </si>
  <si>
    <t xml:space="preserve">Un jeu qui ouvre une fenêtre</t>
  </si>
  <si>
    <t xml:space="preserve">Combien d'exercices selon le scénario</t>
  </si>
  <si>
    <t xml:space="preserve">Must seuls</t>
  </si>
  <si>
    <t xml:space="preserve">Must + Should</t>
  </si>
  <si>
    <t xml:space="preserve">Tout sauf les Won't</t>
  </si>
  <si>
    <t xml:space="preserve">Déjà livrés</t>
  </si>
  <si>
    <t xml:space="preserve">Restant à écrire</t>
  </si>
  <si>
    <t xml:space="preserve">REC compte pour une seule ligne : son format n'est pas arrêté.</t>
  </si>
  <si>
    <t xml:space="preserve">Objectifs d'apprentissage, module par module</t>
  </si>
  <si>
    <t xml:space="preserve">Déduits des slides et des exercices, puis rattachés à un objectif de l'examen. Colonne D modifiable : elle alimente la feuille Couverture.</t>
  </si>
  <si>
    <t xml:space="preserve">Objectif d'apprentissage</t>
  </si>
  <si>
    <t xml:space="preserve">POO.a</t>
  </si>
  <si>
    <t xml:space="preserve">Déclarer une classe, ses champs et ses méthodes</t>
  </si>
  <si>
    <t xml:space="preserve">POO.b</t>
  </si>
  <si>
    <t xml:space="preserve">Encapsuler : private, accesseurs, invariants</t>
  </si>
  <si>
    <t xml:space="preserve">POO.2, POO.3</t>
  </si>
  <si>
    <t xml:space="preserve">POO.c</t>
  </si>
  <si>
    <t xml:space="preserve">Éliminer une donnée redondante en la calculant</t>
  </si>
  <si>
    <t xml:space="preserve">POO.d</t>
  </si>
  <si>
    <t xml:space="preserve">Distinguer passage d'un primitif et d'une référence</t>
  </si>
  <si>
    <t xml:space="preserve">POO.e</t>
  </si>
  <si>
    <t xml:space="preserve">Séparer le noyau calculatoire du dialogue utilisateur</t>
  </si>
  <si>
    <t xml:space="preserve">STA.a</t>
  </si>
  <si>
    <t xml:space="preserve">Distinguer ce qui appartient à la classe de ce qui appartient à l'objet</t>
  </si>
  <si>
    <t xml:space="preserve">STA.b</t>
  </si>
  <si>
    <t xml:space="preserve">Déclarer une constante et savoir où la placer</t>
  </si>
  <si>
    <t xml:space="preserve">STA.c</t>
  </si>
  <si>
    <t xml:space="preserve">Écrire une méthode statique et une fabrique</t>
  </si>
  <si>
    <t xml:space="preserve">TMP.a</t>
  </si>
  <si>
    <t xml:space="preserve">Construire une date et mesurer un écart</t>
  </si>
  <si>
    <t xml:space="preserve">TMP.b</t>
  </si>
  <si>
    <t xml:space="preserve">Comprendre l'immuabilité des objets du JDK</t>
  </si>
  <si>
    <t xml:space="preserve">TMP.c</t>
  </si>
  <si>
    <t xml:space="preserve">Distinguer une date d'un instant</t>
  </si>
  <si>
    <t xml:space="preserve">TMP.d</t>
  </si>
  <si>
    <t xml:space="preserve">Maîtriser l'arithmétique du calendrier</t>
  </si>
  <si>
    <t xml:space="preserve">TMP.e</t>
  </si>
  <si>
    <t xml:space="preserve">Choisir entre Period et Duration</t>
  </si>
  <si>
    <t xml:space="preserve">TMP.f</t>
  </si>
  <si>
    <t xml:space="preserve">Formater et analyser une date, et connaître les pièges</t>
  </si>
  <si>
    <t xml:space="preserve">PKG.a</t>
  </si>
  <si>
    <t xml:space="preserve">Connaître les niveaux de visibilité et leur portée</t>
  </si>
  <si>
    <t xml:space="preserve">PKG.1, PKG.2</t>
  </si>
  <si>
    <t xml:space="preserve">PKG.b</t>
  </si>
  <si>
    <t xml:space="preserve">Justifier un accesseur plutôt qu'un champ public</t>
  </si>
  <si>
    <t xml:space="preserve">PKG.c</t>
  </si>
  <si>
    <t xml:space="preserve">Réduire la surface publique d'une classe</t>
  </si>
  <si>
    <t xml:space="preserve">PKG.d</t>
  </si>
  <si>
    <t xml:space="preserve">Organiser un programme en packages et lire ses dépendances</t>
  </si>
  <si>
    <t xml:space="preserve">PKG.e</t>
  </si>
  <si>
    <t xml:space="preserve">Compléter une hiérarchie autour d'une classe fournie, en composant avec ses visibilités</t>
  </si>
  <si>
    <t xml:space="preserve">TAB.a</t>
  </si>
  <si>
    <t xml:space="preserve">Parcourir un tableau à deux dimensions</t>
  </si>
  <si>
    <t xml:space="preserve">TAB.b</t>
  </si>
  <si>
    <t xml:space="preserve">Construire un tableau non rectangulaire</t>
  </si>
  <si>
    <t xml:space="preserve">TAB.c</t>
  </si>
  <si>
    <t xml:space="preserve">Employer l'opérateur ternaire à bon escient</t>
  </si>
  <si>
    <t xml:space="preserve">TAB.d</t>
  </si>
  <si>
    <t xml:space="preserve">Faire collaborer plusieurs classes, gérer un tableau fixe</t>
  </si>
  <si>
    <t xml:space="preserve">ENU.a</t>
  </si>
  <si>
    <t xml:space="preserve">Déclarer une énumération et exploiter l'ordre des constantes</t>
  </si>
  <si>
    <t xml:space="preserve">ENU.b</t>
  </si>
  <si>
    <t xml:space="preserve">Passer une énumération en paramètre</t>
  </si>
  <si>
    <t xml:space="preserve">ENU.c</t>
  </si>
  <si>
    <t xml:space="preserve">Donner un constructeur et des méthodes à une énumération</t>
  </si>
  <si>
    <t xml:space="preserve">ENU.d</t>
  </si>
  <si>
    <t xml:space="preserve">Écrire un record et savoir quand il convient</t>
  </si>
  <si>
    <t xml:space="preserve">ABS.a</t>
  </si>
  <si>
    <t xml:space="preserve">Écrire une classe abstraite et une méthode abstraite</t>
  </si>
  <si>
    <t xml:space="preserve">ABS.b</t>
  </si>
  <si>
    <t xml:space="preserve">Faire remonter le code commun, laisser descendre ce qui varie</t>
  </si>
  <si>
    <t xml:space="preserve">ABS.1, ABS.2</t>
  </si>
  <si>
    <t xml:space="preserve">ABS.c</t>
  </si>
  <si>
    <t xml:space="preserve">Exploiter le polymorphisme sans tester le type</t>
  </si>
  <si>
    <t xml:space="preserve">ABS.d</t>
  </si>
  <si>
    <t xml:space="preserve">Compléter un dispositif écrit par un tiers</t>
  </si>
  <si>
    <t xml:space="preserve">ABS.e</t>
  </si>
  <si>
    <t xml:space="preserve">Factoriser une hiérarchie métier complète</t>
  </si>
  <si>
    <t xml:space="preserve">ABS.f</t>
  </si>
  <si>
    <t xml:space="preserve">Concevoir une hiérarchie entière à partir d'un énoncé, sans squelette</t>
  </si>
  <si>
    <t xml:space="preserve">ITF.a</t>
  </si>
  <si>
    <t xml:space="preserve">Écrire et implémenter une interface</t>
  </si>
  <si>
    <t xml:space="preserve">ITF.b</t>
  </si>
  <si>
    <t xml:space="preserve">Dépendre d'une interface plutôt que d'une classe concrète</t>
  </si>
  <si>
    <t xml:space="preserve">ITF.1, ITF.2</t>
  </si>
  <si>
    <t xml:space="preserve">ITF.c</t>
  </si>
  <si>
    <t xml:space="preserve">Implémenter plusieurs interfaces, choisir entre interface et abstraite</t>
  </si>
  <si>
    <t xml:space="preserve">ITF.d</t>
  </si>
  <si>
    <t xml:space="preserve">Étendre un programme sans le modifier (Observateur)</t>
  </si>
  <si>
    <t xml:space="preserve">COL.a</t>
  </si>
  <si>
    <t xml:space="preserve">Choisir entre List, Set et Map selon la garantie voulue</t>
  </si>
  <si>
    <t xml:space="preserve">COL.1, COL.6</t>
  </si>
  <si>
    <t xml:space="preserve">COL.b</t>
  </si>
  <si>
    <t xml:space="preserve">Employer une table associative</t>
  </si>
  <si>
    <t xml:space="preserve">COL.2, COL.4</t>
  </si>
  <si>
    <t xml:space="preserve">COL.c</t>
  </si>
  <si>
    <t xml:space="preserve">Remplir une collection à partir d'un flux de texte</t>
  </si>
  <si>
    <t xml:space="preserve">COL.d</t>
  </si>
  <si>
    <t xml:space="preserve">Passer un prédicat à une méthode de collection</t>
  </si>
  <si>
    <t xml:space="preserve">COL.e</t>
  </si>
  <si>
    <t xml:space="preserve">Emboîter des collections, confier une règle à la structure</t>
  </si>
  <si>
    <t xml:space="preserve">EXC.a</t>
  </si>
  <si>
    <t xml:space="preserve">Écrire et lever une exception personnalisée</t>
  </si>
  <si>
    <t xml:space="preserve">EXC.1, EXC.3</t>
  </si>
  <si>
    <t xml:space="preserve">EXC.b</t>
  </si>
  <si>
    <t xml:space="preserve">Laisser l'objet cohérent quand une méthode échoue</t>
  </si>
  <si>
    <t xml:space="preserve">EXC.c</t>
  </si>
  <si>
    <t xml:space="preserve">Valider dans le constructeur</t>
  </si>
  <si>
    <t xml:space="preserve">EXC.d</t>
  </si>
  <si>
    <t xml:space="preserve">Structurer une famille d'exceptions selon ce que l'appelant distingue</t>
  </si>
  <si>
    <t xml:space="preserve">EXC.e</t>
  </si>
  <si>
    <t xml:space="preserve">Traiter les exceptions non contrôlées du JDK</t>
  </si>
  <si>
    <t xml:space="preserve">EXC.f</t>
  </si>
  <si>
    <t xml:space="preserve">Lire une trace d'exception et remonter à la cause</t>
  </si>
  <si>
    <t xml:space="preserve">JUN.a</t>
  </si>
  <si>
    <t xml:space="preserve">Lire une classe de test comme une spécification</t>
  </si>
  <si>
    <t xml:space="preserve">JUN.b</t>
  </si>
  <si>
    <t xml:space="preserve">Écrire une vérification qui démasque un défaut</t>
  </si>
  <si>
    <t xml:space="preserve">JUN.c</t>
  </si>
  <si>
    <t xml:space="preserve">Écrire une classe de test JUnit structurée</t>
  </si>
  <si>
    <t xml:space="preserve">JUN.d</t>
  </si>
  <si>
    <t xml:space="preserve">Justifier le choix des cas testés, y compris les bords</t>
  </si>
  <si>
    <t xml:space="preserve">JUN.2, JUN.3</t>
  </si>
  <si>
    <t xml:space="preserve">GEN.a</t>
  </si>
  <si>
    <t xml:space="preserve">Écrire une classe générique à un ou plusieurs paramètres</t>
  </si>
  <si>
    <t xml:space="preserve">GEN.1, GEN.2, GEN.3</t>
  </si>
  <si>
    <t xml:space="preserve">GEN.b</t>
  </si>
  <si>
    <t xml:space="preserve">Comprendre ce que la généricité évite</t>
  </si>
  <si>
    <t xml:space="preserve">GEN.c</t>
  </si>
  <si>
    <t xml:space="preserve">Employer le joker pour accepter une famille de types</t>
  </si>
  <si>
    <t xml:space="preserve">GEN.d</t>
  </si>
  <si>
    <t xml:space="preserve">Écrire une méthode générique</t>
  </si>
  <si>
    <t xml:space="preserve">GEN.e</t>
  </si>
  <si>
    <t xml:space="preserve">Hériter d'une classe générique, distinguer super() et this()</t>
  </si>
  <si>
    <t xml:space="preserve">LAM.a</t>
  </si>
  <si>
    <t xml:space="preserve">Reconnaître une interface fonctionnelle</t>
  </si>
  <si>
    <t xml:space="preserve">LAM.1, LAM.2</t>
  </si>
  <si>
    <t xml:space="preserve">LAM.b</t>
  </si>
  <si>
    <t xml:space="preserve">Écrire une expression lambda sous ses trois formes</t>
  </si>
  <si>
    <t xml:space="preserve">LAM.c</t>
  </si>
  <si>
    <t xml:space="preserve">Passer un comportement en paramètre</t>
  </si>
  <si>
    <t xml:space="preserve">LAM.d</t>
  </si>
  <si>
    <t xml:space="preserve">Employer les interfaces de java.util.function</t>
  </si>
  <si>
    <t xml:space="preserve">LAM.e</t>
  </si>
  <si>
    <t xml:space="preserve">Employer une référence de méthode</t>
  </si>
  <si>
    <t xml:space="preserve">FX.a</t>
  </si>
  <si>
    <t xml:space="preserve">Construire une fenêtre et disposer des composants</t>
  </si>
  <si>
    <t xml:space="preserve">FX.1, FX.3</t>
  </si>
  <si>
    <t xml:space="preserve">FX.b</t>
  </si>
  <si>
    <t xml:space="preserve">Relier un composant à un gestionnaire d'ActionEvent</t>
  </si>
  <si>
    <t xml:space="preserve">FX.1, FX.2</t>
  </si>
  <si>
    <t xml:space="preserve">FX.c</t>
  </si>
  <si>
    <t xml:space="preserve">Traiter un KeyEvent et un MouseEvent</t>
  </si>
  <si>
    <t xml:space="preserve">FX.4, FX.5</t>
  </si>
  <si>
    <t xml:space="preserve">FX.d</t>
  </si>
  <si>
    <t xml:space="preserve">Distinguer filtre et gestionnaire, comprendre la propagation</t>
  </si>
  <si>
    <t xml:space="preserve">FX.e</t>
  </si>
  <si>
    <t xml:space="preserve">Construire une application graphique complète</t>
  </si>
  <si>
    <t xml:space="preserve">FX.f</t>
  </si>
  <si>
    <t xml:space="preserve">Séparer la vue du contrôleur avec FXML</t>
  </si>
  <si>
    <t xml:space="preserve">FX.g</t>
  </si>
  <si>
    <t xml:space="preserve">Observer une propriété par un ChangeListener (facultatif)</t>
  </si>
  <si>
    <t xml:space="preserve">FX.6, FX.7</t>
  </si>
  <si>
    <t xml:space="preserve">FX.h</t>
  </si>
  <si>
    <t xml:space="preserve">Lier des valeurs par un binding (facultatif)</t>
  </si>
  <si>
    <t xml:space="preserve">FIC.a</t>
  </si>
  <si>
    <t xml:space="preserve">Modéliser un petit domaine à trois classes liées</t>
  </si>
  <si>
    <t xml:space="preserve">FIC.b</t>
  </si>
  <si>
    <t xml:space="preserve">Protéger une collection interne rendue par un accesseur</t>
  </si>
  <si>
    <t xml:space="preserve">FIC.c</t>
  </si>
  <si>
    <t xml:space="preserve">Sérialiser des objets et les relire</t>
  </si>
  <si>
    <t xml:space="preserve">FIC.d</t>
  </si>
  <si>
    <t xml:space="preserve">Lire et écrire un fichier texte</t>
  </si>
  <si>
    <t xml:space="preserve">FIC.e</t>
  </si>
  <si>
    <t xml:space="preserve">Choisir un format en fonction de qui lira le fichier</t>
  </si>
  <si>
    <t xml:space="preserve">REC.a</t>
  </si>
  <si>
    <t xml:space="preserve">Mobiliser plusieurs modules sur un même énoncé</t>
  </si>
  <si>
    <t xml:space="preserve">à décider</t>
  </si>
  <si>
    <t xml:space="preserve">REC.b</t>
  </si>
  <si>
    <t xml:space="preserve">Se préparer au format de l'examen</t>
  </si>
  <si>
    <t xml:space="preserve">Fond rose : aucun exercice n'existe encore pour ce module. La couleur se déduit du disque, elle ne se décrète pas.</t>
  </si>
  <si>
    <t xml:space="preserve">Couverture des objectifs de l'examen par les modules</t>
  </si>
  <si>
    <t xml:space="preserve">Chaque cellule compte les objectifs d'apprentissage rattachés. Tout se recalcule depuis la feuille précédente.</t>
  </si>
  <si>
    <t xml:space="preserve">Objectif de l'examen</t>
  </si>
  <si>
    <t xml:space="preserve">Total</t>
  </si>
  <si>
    <t xml:space="preserve">Comment lire ce tableau</t>
  </si>
  <si>
    <t xml:space="preserve">Un zéro signale un objectif de l'examen qu'aucun module ne porte.</t>
  </si>
  <si>
    <t xml:space="preserve">Un 1 signale un objectif tenu par un seul module : si ce module saute, l'objectif saute avec lui.</t>
  </si>
  <si>
    <t xml:space="preserve">Pour rattacher autrement un objectif, changez la colonne D de la feuille précédente.</t>
  </si>
  <si>
    <t xml:space="preserve">Ce qui a ete verifie, et ce qui reste</t>
  </si>
  <si>
    <t xml:space="preserve">« Livre » ne dit pas « teste ». Cette feuille distingue les deux.</t>
  </si>
  <si>
    <t xml:space="preserve">Ce qui est verifie</t>
  </si>
  <si>
    <t xml:space="preserve">Etat</t>
  </si>
  <si>
    <t xml:space="preserve">Quand</t>
  </si>
  <si>
    <t xml:space="preserve">Ce qui en est ressorti</t>
  </si>
  <si>
    <t xml:space="preserve">Slides — relecture et adaptation</t>
  </si>
  <si>
    <t xml:space="preserve">a faire</t>
  </si>
  <si>
    <t xml:space="preserve">Les seize decks sont produits et n'ont jamais ete relus. C'est le gros du travail qui reste : contenu, enchainement, duree reelle de chaque seance.</t>
  </si>
  <si>
    <t xml:space="preserve">Exercices — compilation et tests</t>
  </si>
  <si>
    <t xml:space="preserve">70 squelettes. Verifie en septembre, a refaire : STA.1 et ABS.5 ont change depuis.</t>
  </si>
  <si>
    <t xml:space="preserve">Solutions — compilation et execution</t>
  </si>
  <si>
    <t xml:space="preserve">Verifie en septembre. Depuis, JUN.3 a recu son corrige, et sept programmes ont ete repris.</t>
  </si>
  <si>
    <t xml:space="preserve">Enonces — relecture detaillee</t>
  </si>
  <si>
    <t xml:space="preserve">Les quinze fascicules et les cinq documents de reference. Entamee en septembre, jamais achevee.</t>
  </si>
  <si>
    <t xml:space="preserve">GameHub — les 35 increments</t>
  </si>
  <si>
    <t xml:space="preserve">Trente compilaient en septembre. Cinq se sont ajoutes depuis, dont deux qui ouvrent une fenetre JavaFX.</t>
  </si>
  <si>
    <t xml:space="preserve">Demineur — tests, jeu et enonce</t>
  </si>
  <si>
    <t xml:space="preserve">Jamais verifie. Ni les dix tests de GrilleTest, ni le jeu, ni l'enonce en sept etapes ecrit depuis.</t>
  </si>
  <si>
    <t xml:space="preserve">JavaFX — les exercices, les demos, FX.8</t>
  </si>
  <si>
    <t xml:space="preserve">Les huit exercices et les deux demos tournaient en septembre. FX.8 — bindings et pom.xml — n'a jamais ete eprouve.</t>
  </si>
  <si>
    <t xml:space="preserve">Captures d'ecran sous Windows</t>
  </si>
  <si>
    <t xml:space="preserve">Les 23 captures du guide et du document Git viennent d'un macOS.</t>
  </si>
  <si>
    <t xml:space="preserve">REC — l'examen blanc et les recapitulatifs</t>
  </si>
  <si>
    <t xml:space="preserve">Formule arretee le 11/10 : un examen d'une annee precedente, plus des exercices recapitulatifs. Aucun recapitulatif n'est ecrit.</t>
  </si>
  <si>
    <t xml:space="preserve">La distribution aux etudiants</t>
  </si>
  <si>
    <t xml:space="preserve">Depot GitHub public, archives par seance de livrer.py, dossiers par module de dossier_module.py : trois voies qui ne disent pas la meme chose. Point important, pas encore creuse.</t>
  </si>
  <si>
    <t xml:space="preserve">Tout est repasse a « a faire » le 11/10/2026 : le professeur reprend l'ensemble. Une ligne « fait » datee de septembre aurait menti, puisque les seize decks, cinq increments GameHub et l'enonce du demineur sont arrives depuis.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</si>
</sst>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C2B2B"/>
      <name val="Arial"/>
      <family val="0"/>
      <charset val="1"/>
    </font>
    <font>
      <sz val="9"/>
      <name val="Arial"/>
      <family val="0"/>
      <charset val="1"/>
    </font>
    <font>
      <i val="true"/>
      <sz val="10"/>
      <color rgb="FF1F4E7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6"/>
        <bgColor rgb="FFD9E7D2"/>
      </patternFill>
    </fill>
    <fill>
      <patternFill patternType="solid">
        <fgColor rgb="FFF2F2F2"/>
        <bgColor rgb="FFDEEAF6"/>
      </patternFill>
    </fill>
    <fill>
      <patternFill patternType="solid">
        <fgColor rgb="FFD9E7D2"/>
        <bgColor rgb="FFDEEAF6"/>
      </patternFill>
    </fill>
    <fill>
      <patternFill patternType="solid">
        <fgColor rgb="FFFFF2CC"/>
        <bgColor rgb="FFFBE9D5"/>
      </patternFill>
    </fill>
    <fill>
      <patternFill patternType="solid">
        <fgColor rgb="FFFBE9D5"/>
        <bgColor rgb="FFFCE4E4"/>
      </patternFill>
    </fill>
    <fill>
      <patternFill patternType="solid">
        <fgColor rgb="FFFCE4E4"/>
        <bgColor rgb="FFFBE9D5"/>
      </patternFill>
    </fill>
    <fill>
      <patternFill patternType="solid">
        <fgColor rgb="FFF4CC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DEEA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D9E7D2"/>
          <bgColor rgb="FF000000"/>
        </patternFill>
      </fill>
    </dxf>
    <dxf>
      <fill>
        <patternFill patternType="solid">
          <fgColor rgb="FFFBE9D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2B2B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7D2"/>
      <rgbColor rgb="FFFBE9D5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2B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5"/>
    <col collapsed="false" customWidth="true" hidden="false" outlineLevel="0" max="3" min="3" style="0" width="2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9.5" hidden="false" customHeight="true" outlineLevel="0" collapsed="false">
      <c r="A5" s="4" t="s">
        <v>5</v>
      </c>
      <c r="B5" s="5" t="s">
        <v>6</v>
      </c>
      <c r="C5" s="6"/>
    </row>
    <row r="6" customFormat="false" ht="30" hidden="false" customHeight="true" outlineLevel="0" collapsed="false">
      <c r="A6" s="7" t="s">
        <v>7</v>
      </c>
      <c r="B6" s="8" t="s">
        <v>8</v>
      </c>
      <c r="C6" s="9" t="s">
        <v>9</v>
      </c>
    </row>
    <row r="7" customFormat="false" ht="30" hidden="false" customHeight="true" outlineLevel="0" collapsed="false">
      <c r="A7" s="7" t="s">
        <v>10</v>
      </c>
      <c r="B7" s="8" t="s">
        <v>11</v>
      </c>
      <c r="C7" s="9" t="s">
        <v>12</v>
      </c>
    </row>
    <row r="8" customFormat="false" ht="30" hidden="false" customHeight="true" outlineLevel="0" collapsed="false">
      <c r="A8" s="7" t="s">
        <v>13</v>
      </c>
      <c r="B8" s="8" t="s">
        <v>14</v>
      </c>
      <c r="C8" s="9" t="s">
        <v>15</v>
      </c>
    </row>
    <row r="9" customFormat="false" ht="30" hidden="false" customHeight="true" outlineLevel="0" collapsed="false">
      <c r="A9" s="7" t="s">
        <v>16</v>
      </c>
      <c r="B9" s="8" t="s">
        <v>17</v>
      </c>
      <c r="C9" s="9" t="s">
        <v>18</v>
      </c>
    </row>
    <row r="10" customFormat="false" ht="30" hidden="false" customHeight="true" outlineLevel="0" collapsed="false">
      <c r="A10" s="7" t="s">
        <v>19</v>
      </c>
      <c r="B10" s="8" t="s">
        <v>20</v>
      </c>
      <c r="C10" s="9" t="s">
        <v>21</v>
      </c>
    </row>
    <row r="11" customFormat="false" ht="30" hidden="false" customHeight="true" outlineLevel="0" collapsed="false">
      <c r="A11" s="7" t="s">
        <v>22</v>
      </c>
      <c r="B11" s="8" t="s">
        <v>23</v>
      </c>
      <c r="C11" s="9" t="s">
        <v>24</v>
      </c>
    </row>
    <row r="12" customFormat="false" ht="19.5" hidden="false" customHeight="true" outlineLevel="0" collapsed="false">
      <c r="A12" s="4" t="s">
        <v>25</v>
      </c>
      <c r="B12" s="5" t="s">
        <v>26</v>
      </c>
      <c r="C12" s="6"/>
    </row>
    <row r="13" customFormat="false" ht="30" hidden="false" customHeight="true" outlineLevel="0" collapsed="false">
      <c r="A13" s="7" t="s">
        <v>27</v>
      </c>
      <c r="B13" s="8" t="s">
        <v>28</v>
      </c>
      <c r="C13" s="9" t="s">
        <v>29</v>
      </c>
    </row>
    <row r="14" customFormat="false" ht="30" hidden="false" customHeight="true" outlineLevel="0" collapsed="false">
      <c r="A14" s="7" t="s">
        <v>30</v>
      </c>
      <c r="B14" s="8" t="s">
        <v>31</v>
      </c>
      <c r="C14" s="9" t="s">
        <v>29</v>
      </c>
    </row>
    <row r="15" customFormat="false" ht="30" hidden="false" customHeight="true" outlineLevel="0" collapsed="false">
      <c r="A15" s="7" t="s">
        <v>32</v>
      </c>
      <c r="B15" s="8" t="s">
        <v>33</v>
      </c>
      <c r="C15" s="9" t="s">
        <v>29</v>
      </c>
    </row>
    <row r="16" customFormat="false" ht="19.5" hidden="false" customHeight="true" outlineLevel="0" collapsed="false">
      <c r="A16" s="4" t="s">
        <v>34</v>
      </c>
      <c r="B16" s="5" t="s">
        <v>35</v>
      </c>
      <c r="C16" s="6"/>
    </row>
    <row r="17" customFormat="false" ht="30" hidden="false" customHeight="true" outlineLevel="0" collapsed="false">
      <c r="A17" s="7" t="s">
        <v>36</v>
      </c>
      <c r="B17" s="8" t="s">
        <v>37</v>
      </c>
      <c r="C17" s="9" t="s">
        <v>38</v>
      </c>
    </row>
    <row r="18" customFormat="false" ht="30" hidden="false" customHeight="true" outlineLevel="0" collapsed="false">
      <c r="A18" s="7" t="s">
        <v>39</v>
      </c>
      <c r="B18" s="8" t="s">
        <v>40</v>
      </c>
      <c r="C18" s="9" t="s">
        <v>29</v>
      </c>
    </row>
    <row r="20" customFormat="false" ht="15" hidden="false" customHeight="false" outlineLevel="0" collapsed="false">
      <c r="A20" s="10" t="s">
        <v>41</v>
      </c>
    </row>
    <row r="22" customFormat="false" ht="25.5" hidden="false" customHeight="true" outlineLevel="0" collapsed="false">
      <c r="A22" s="11" t="s">
        <v>42</v>
      </c>
      <c r="B22" s="12" t="s">
        <v>43</v>
      </c>
      <c r="C22" s="13" t="s">
        <v>38</v>
      </c>
    </row>
    <row r="23" customFormat="false" ht="25.5" hidden="false" customHeight="true" outlineLevel="0" collapsed="false">
      <c r="A23" s="11" t="s">
        <v>44</v>
      </c>
      <c r="B23" s="12" t="s">
        <v>45</v>
      </c>
      <c r="C23" s="13" t="s">
        <v>38</v>
      </c>
    </row>
    <row r="24" customFormat="false" ht="25.5" hidden="false" customHeight="true" outlineLevel="0" collapsed="false">
      <c r="A24" s="11" t="s">
        <v>46</v>
      </c>
      <c r="B24" s="12" t="s">
        <v>47</v>
      </c>
      <c r="C24" s="13" t="s">
        <v>38</v>
      </c>
    </row>
    <row r="25" customFormat="false" ht="25.5" hidden="false" customHeight="true" outlineLevel="0" collapsed="false">
      <c r="A25" s="11" t="s">
        <v>48</v>
      </c>
      <c r="B25" s="12" t="s">
        <v>49</v>
      </c>
      <c r="C25" s="13" t="s">
        <v>38</v>
      </c>
    </row>
    <row r="26" customFormat="false" ht="25.5" hidden="false" customHeight="true" outlineLevel="0" collapsed="false">
      <c r="A26" s="11" t="s">
        <v>50</v>
      </c>
      <c r="B26" s="12" t="s">
        <v>51</v>
      </c>
      <c r="C26" s="13" t="s">
        <v>38</v>
      </c>
    </row>
    <row r="27" customFormat="false" ht="25.5" hidden="false" customHeight="true" outlineLevel="0" collapsed="false">
      <c r="A27" s="11" t="s">
        <v>52</v>
      </c>
      <c r="B27" s="12" t="s">
        <v>53</v>
      </c>
      <c r="C27" s="13" t="s">
        <v>38</v>
      </c>
    </row>
    <row r="28" customFormat="false" ht="25.5" hidden="false" customHeight="true" outlineLevel="0" collapsed="false">
      <c r="A28" s="11" t="s">
        <v>54</v>
      </c>
      <c r="B28" s="12" t="s">
        <v>55</v>
      </c>
      <c r="C28" s="13" t="s">
        <v>38</v>
      </c>
    </row>
    <row r="29" customFormat="false" ht="25.5" hidden="false" customHeight="true" outlineLevel="0" collapsed="false">
      <c r="A29" s="11" t="s">
        <v>56</v>
      </c>
      <c r="B29" s="12" t="s">
        <v>57</v>
      </c>
      <c r="C29" s="13" t="s">
        <v>38</v>
      </c>
    </row>
    <row r="30" customFormat="false" ht="25.5" hidden="false" customHeight="true" outlineLevel="0" collapsed="false">
      <c r="A30" s="11" t="s">
        <v>58</v>
      </c>
      <c r="B30" s="12" t="s">
        <v>59</v>
      </c>
      <c r="C30" s="13" t="s">
        <v>38</v>
      </c>
    </row>
    <row r="31" customFormat="false" ht="25.5" hidden="false" customHeight="true" outlineLevel="0" collapsed="false">
      <c r="A31" s="11" t="s">
        <v>60</v>
      </c>
      <c r="B31" s="12" t="s">
        <v>61</v>
      </c>
      <c r="C31" s="13" t="s">
        <v>38</v>
      </c>
    </row>
    <row r="32" customFormat="false" ht="25.5" hidden="false" customHeight="true" outlineLevel="0" collapsed="false">
      <c r="A32" s="11" t="s">
        <v>62</v>
      </c>
      <c r="B32" s="12" t="s">
        <v>63</v>
      </c>
      <c r="C32" s="13" t="s">
        <v>38</v>
      </c>
    </row>
    <row r="33" customFormat="false" ht="25.5" hidden="false" customHeight="true" outlineLevel="0" collapsed="false">
      <c r="A33" s="11" t="s">
        <v>64</v>
      </c>
      <c r="B33" s="12" t="s">
        <v>65</v>
      </c>
      <c r="C33" s="13" t="s">
        <v>38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32"/>
    <col collapsed="false" customWidth="true" hidden="false" outlineLevel="0" max="11" min="11" style="0" width="9"/>
  </cols>
  <sheetData>
    <row r="1" customFormat="false" ht="25.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</row>
    <row r="5" customFormat="false" ht="24" hidden="false" customHeight="true" outlineLevel="0" collapsed="false">
      <c r="A5" s="14" t="s">
        <v>79</v>
      </c>
      <c r="B5" s="15" t="s">
        <v>80</v>
      </c>
      <c r="C5" s="16" t="s">
        <v>81</v>
      </c>
      <c r="D5" s="17" t="s">
        <v>82</v>
      </c>
      <c r="E5" s="17" t="n">
        <v>5</v>
      </c>
      <c r="F5" s="17" t="n">
        <v>4</v>
      </c>
      <c r="G5" s="17" t="s">
        <v>83</v>
      </c>
      <c r="H5" s="17" t="s">
        <v>84</v>
      </c>
      <c r="I5" s="17" t="n">
        <v>9</v>
      </c>
      <c r="J5" s="15" t="s">
        <v>85</v>
      </c>
      <c r="K5" s="18" t="n">
        <f aca="false">COUNTIF(G5:H5,"non")+COUNTIF(G5:H5,"à écrire")+IF(I5=0,1,0)</f>
        <v>0</v>
      </c>
    </row>
    <row r="6" customFormat="false" ht="24" hidden="false" customHeight="true" outlineLevel="0" collapsed="false">
      <c r="A6" s="14" t="s">
        <v>86</v>
      </c>
      <c r="B6" s="15" t="s">
        <v>87</v>
      </c>
      <c r="C6" s="19" t="s">
        <v>88</v>
      </c>
      <c r="D6" s="17" t="s">
        <v>89</v>
      </c>
      <c r="E6" s="17" t="n">
        <v>2</v>
      </c>
      <c r="F6" s="17" t="n">
        <v>2</v>
      </c>
      <c r="G6" s="17" t="s">
        <v>83</v>
      </c>
      <c r="H6" s="17" t="s">
        <v>84</v>
      </c>
      <c r="I6" s="17" t="n">
        <v>5</v>
      </c>
      <c r="J6" s="15" t="s">
        <v>85</v>
      </c>
      <c r="K6" s="18" t="n">
        <f aca="false">COUNTIF(G6:H6,"non")+COUNTIF(G6:H6,"à écrire")+IF(I6=0,1,0)</f>
        <v>0</v>
      </c>
    </row>
    <row r="7" customFormat="false" ht="24" hidden="false" customHeight="true" outlineLevel="0" collapsed="false">
      <c r="A7" s="14" t="s">
        <v>90</v>
      </c>
      <c r="B7" s="15" t="s">
        <v>91</v>
      </c>
      <c r="C7" s="19" t="s">
        <v>88</v>
      </c>
      <c r="D7" s="17" t="s">
        <v>92</v>
      </c>
      <c r="E7" s="17" t="n">
        <v>6</v>
      </c>
      <c r="F7" s="17" t="n">
        <v>6</v>
      </c>
      <c r="G7" s="17" t="s">
        <v>83</v>
      </c>
      <c r="H7" s="17" t="s">
        <v>84</v>
      </c>
      <c r="I7" s="17" t="n">
        <v>3</v>
      </c>
      <c r="J7" s="15" t="s">
        <v>85</v>
      </c>
      <c r="K7" s="18" t="n">
        <f aca="false">COUNTIF(G7:H7,"non")+COUNTIF(G7:H7,"à écrire")+IF(I7=0,1,0)</f>
        <v>0</v>
      </c>
    </row>
    <row r="8" customFormat="false" ht="24" hidden="false" customHeight="true" outlineLevel="0" collapsed="false">
      <c r="A8" s="14" t="s">
        <v>93</v>
      </c>
      <c r="B8" s="15" t="s">
        <v>94</v>
      </c>
      <c r="C8" s="16" t="s">
        <v>81</v>
      </c>
      <c r="D8" s="17" t="s">
        <v>92</v>
      </c>
      <c r="E8" s="17" t="n">
        <v>5</v>
      </c>
      <c r="F8" s="17" t="n">
        <v>5</v>
      </c>
      <c r="G8" s="17" t="s">
        <v>83</v>
      </c>
      <c r="H8" s="17" t="s">
        <v>84</v>
      </c>
      <c r="I8" s="17" t="n">
        <v>3</v>
      </c>
      <c r="J8" s="15" t="s">
        <v>85</v>
      </c>
      <c r="K8" s="18" t="n">
        <f aca="false">COUNTIF(G8:H8,"non")+COUNTIF(G8:H8,"à écrire")+IF(I8=0,1,0)</f>
        <v>0</v>
      </c>
    </row>
    <row r="9" customFormat="false" ht="24" hidden="false" customHeight="true" outlineLevel="0" collapsed="false">
      <c r="A9" s="14" t="s">
        <v>95</v>
      </c>
      <c r="B9" s="15" t="s">
        <v>96</v>
      </c>
      <c r="C9" s="19" t="s">
        <v>88</v>
      </c>
      <c r="D9" s="17" t="s">
        <v>92</v>
      </c>
      <c r="E9" s="17" t="n">
        <v>4</v>
      </c>
      <c r="F9" s="17" t="n">
        <v>4</v>
      </c>
      <c r="G9" s="17" t="s">
        <v>83</v>
      </c>
      <c r="H9" s="17" t="s">
        <v>84</v>
      </c>
      <c r="I9" s="17" t="n">
        <v>3</v>
      </c>
      <c r="J9" s="15" t="s">
        <v>85</v>
      </c>
      <c r="K9" s="18" t="n">
        <f aca="false">COUNTIF(G9:H9,"non")+COUNTIF(G9:H9,"à écrire")+IF(I9=0,1,0)</f>
        <v>0</v>
      </c>
    </row>
    <row r="10" customFormat="false" ht="24" hidden="false" customHeight="true" outlineLevel="0" collapsed="false">
      <c r="A10" s="14" t="s">
        <v>97</v>
      </c>
      <c r="B10" s="15" t="s">
        <v>98</v>
      </c>
      <c r="C10" s="19" t="s">
        <v>88</v>
      </c>
      <c r="D10" s="17" t="s">
        <v>92</v>
      </c>
      <c r="E10" s="17" t="n">
        <v>4</v>
      </c>
      <c r="F10" s="17" t="n">
        <v>4</v>
      </c>
      <c r="G10" s="17" t="s">
        <v>83</v>
      </c>
      <c r="H10" s="17" t="s">
        <v>84</v>
      </c>
      <c r="I10" s="17" t="n">
        <v>5</v>
      </c>
      <c r="J10" s="15" t="s">
        <v>85</v>
      </c>
      <c r="K10" s="18" t="n">
        <f aca="false">COUNTIF(G10:H10,"non")+COUNTIF(G10:H10,"à écrire")+IF(I10=0,1,0)</f>
        <v>0</v>
      </c>
    </row>
    <row r="11" customFormat="false" ht="24" hidden="false" customHeight="true" outlineLevel="0" collapsed="false">
      <c r="A11" s="14" t="s">
        <v>99</v>
      </c>
      <c r="B11" s="15" t="s">
        <v>100</v>
      </c>
      <c r="C11" s="16" t="s">
        <v>81</v>
      </c>
      <c r="D11" s="17" t="s">
        <v>101</v>
      </c>
      <c r="E11" s="17" t="n">
        <v>5</v>
      </c>
      <c r="F11" s="17" t="n">
        <v>5</v>
      </c>
      <c r="G11" s="17" t="s">
        <v>83</v>
      </c>
      <c r="H11" s="17" t="s">
        <v>84</v>
      </c>
      <c r="I11" s="17" t="n">
        <v>2</v>
      </c>
      <c r="J11" s="15" t="s">
        <v>85</v>
      </c>
      <c r="K11" s="18" t="n">
        <f aca="false">COUNTIF(G11:H11,"non")+COUNTIF(G11:H11,"à écrire")+IF(I11=0,1,0)</f>
        <v>0</v>
      </c>
    </row>
    <row r="12" customFormat="false" ht="24" hidden="false" customHeight="true" outlineLevel="0" collapsed="false">
      <c r="A12" s="14" t="s">
        <v>102</v>
      </c>
      <c r="B12" s="15" t="s">
        <v>103</v>
      </c>
      <c r="C12" s="16" t="s">
        <v>81</v>
      </c>
      <c r="D12" s="17" t="s">
        <v>101</v>
      </c>
      <c r="E12" s="17" t="n">
        <v>4</v>
      </c>
      <c r="F12" s="17" t="n">
        <v>4</v>
      </c>
      <c r="G12" s="17" t="s">
        <v>83</v>
      </c>
      <c r="H12" s="17" t="s">
        <v>84</v>
      </c>
      <c r="I12" s="17" t="n">
        <v>2</v>
      </c>
      <c r="J12" s="15" t="s">
        <v>85</v>
      </c>
      <c r="K12" s="18" t="n">
        <f aca="false">COUNTIF(G12:H12,"non")+COUNTIF(G12:H12,"à écrire")+IF(I12=0,1,0)</f>
        <v>0</v>
      </c>
    </row>
    <row r="13" customFormat="false" ht="24" hidden="false" customHeight="true" outlineLevel="0" collapsed="false">
      <c r="A13" s="14" t="s">
        <v>104</v>
      </c>
      <c r="B13" s="15" t="s">
        <v>105</v>
      </c>
      <c r="C13" s="16" t="s">
        <v>81</v>
      </c>
      <c r="D13" s="17" t="s">
        <v>106</v>
      </c>
      <c r="E13" s="17" t="n">
        <v>7</v>
      </c>
      <c r="F13" s="17" t="n">
        <v>7</v>
      </c>
      <c r="G13" s="17" t="s">
        <v>83</v>
      </c>
      <c r="H13" s="17" t="s">
        <v>84</v>
      </c>
      <c r="I13" s="17" t="n">
        <v>2</v>
      </c>
      <c r="J13" s="15" t="s">
        <v>85</v>
      </c>
      <c r="K13" s="18" t="n">
        <f aca="false">COUNTIF(G13:H13,"non")+COUNTIF(G13:H13,"à écrire")+IF(I13=0,1,0)</f>
        <v>0</v>
      </c>
    </row>
    <row r="14" customFormat="false" ht="24" hidden="false" customHeight="true" outlineLevel="0" collapsed="false">
      <c r="A14" s="14" t="s">
        <v>107</v>
      </c>
      <c r="B14" s="15" t="s">
        <v>108</v>
      </c>
      <c r="C14" s="16" t="s">
        <v>81</v>
      </c>
      <c r="D14" s="17" t="s">
        <v>109</v>
      </c>
      <c r="E14" s="17" t="n">
        <v>5</v>
      </c>
      <c r="F14" s="17" t="n">
        <v>5</v>
      </c>
      <c r="G14" s="17" t="s">
        <v>83</v>
      </c>
      <c r="H14" s="17" t="s">
        <v>84</v>
      </c>
      <c r="I14" s="17" t="n">
        <v>3</v>
      </c>
      <c r="J14" s="15" t="s">
        <v>85</v>
      </c>
      <c r="K14" s="18" t="n">
        <f aca="false">COUNTIF(G14:H14,"non")+COUNTIF(G14:H14,"à écrire")+IF(I14=0,1,0)</f>
        <v>0</v>
      </c>
    </row>
    <row r="15" customFormat="false" ht="24" hidden="false" customHeight="true" outlineLevel="0" collapsed="false">
      <c r="A15" s="14" t="s">
        <v>110</v>
      </c>
      <c r="B15" s="15" t="s">
        <v>111</v>
      </c>
      <c r="C15" s="16" t="s">
        <v>81</v>
      </c>
      <c r="D15" s="17" t="s">
        <v>112</v>
      </c>
      <c r="E15" s="17" t="n">
        <v>3</v>
      </c>
      <c r="F15" s="17" t="n">
        <v>3</v>
      </c>
      <c r="G15" s="17" t="s">
        <v>83</v>
      </c>
      <c r="H15" s="17" t="s">
        <v>84</v>
      </c>
      <c r="I15" s="17" t="n">
        <v>2</v>
      </c>
      <c r="J15" s="15" t="s">
        <v>85</v>
      </c>
      <c r="K15" s="18" t="n">
        <f aca="false">COUNTIF(G15:H15,"non")+COUNTIF(G15:H15,"à écrire")+IF(I15=0,1,0)</f>
        <v>0</v>
      </c>
    </row>
    <row r="16" customFormat="false" ht="24" hidden="false" customHeight="true" outlineLevel="0" collapsed="false">
      <c r="A16" s="14" t="s">
        <v>113</v>
      </c>
      <c r="B16" s="15" t="s">
        <v>114</v>
      </c>
      <c r="C16" s="19" t="s">
        <v>88</v>
      </c>
      <c r="D16" s="17" t="s">
        <v>115</v>
      </c>
      <c r="E16" s="17" t="n">
        <v>6</v>
      </c>
      <c r="F16" s="17" t="n">
        <v>6</v>
      </c>
      <c r="G16" s="17" t="s">
        <v>83</v>
      </c>
      <c r="H16" s="17" t="s">
        <v>84</v>
      </c>
      <c r="I16" s="17" t="n">
        <v>2</v>
      </c>
      <c r="J16" s="15" t="s">
        <v>85</v>
      </c>
      <c r="K16" s="18" t="n">
        <f aca="false">COUNTIF(G16:H16,"non")+COUNTIF(G16:H16,"à écrire")+IF(I16=0,1,0)</f>
        <v>0</v>
      </c>
    </row>
    <row r="17" customFormat="false" ht="24" hidden="false" customHeight="true" outlineLevel="0" collapsed="false">
      <c r="A17" s="14" t="s">
        <v>116</v>
      </c>
      <c r="B17" s="15" t="s">
        <v>117</v>
      </c>
      <c r="C17" s="16" t="s">
        <v>81</v>
      </c>
      <c r="D17" s="17" t="s">
        <v>118</v>
      </c>
      <c r="E17" s="17" t="n">
        <v>3</v>
      </c>
      <c r="F17" s="17" t="n">
        <v>3</v>
      </c>
      <c r="G17" s="17" t="s">
        <v>83</v>
      </c>
      <c r="H17" s="17" t="s">
        <v>84</v>
      </c>
      <c r="I17" s="17" t="n">
        <v>4</v>
      </c>
      <c r="J17" s="15" t="s">
        <v>85</v>
      </c>
      <c r="K17" s="18" t="n">
        <f aca="false">COUNTIF(G17:H17,"non")+COUNTIF(G17:H17,"à écrire")+IF(I17=0,1,0)</f>
        <v>0</v>
      </c>
    </row>
    <row r="18" customFormat="false" ht="24" hidden="false" customHeight="true" outlineLevel="0" collapsed="false">
      <c r="A18" s="14" t="s">
        <v>119</v>
      </c>
      <c r="B18" s="15" t="s">
        <v>120</v>
      </c>
      <c r="C18" s="16" t="s">
        <v>81</v>
      </c>
      <c r="D18" s="17" t="s">
        <v>121</v>
      </c>
      <c r="E18" s="17" t="n">
        <v>9</v>
      </c>
      <c r="F18" s="17" t="n">
        <v>0</v>
      </c>
      <c r="G18" s="17" t="s">
        <v>83</v>
      </c>
      <c r="H18" s="17" t="s">
        <v>84</v>
      </c>
      <c r="I18" s="17" t="n">
        <v>6</v>
      </c>
      <c r="J18" s="15" t="s">
        <v>122</v>
      </c>
      <c r="K18" s="18" t="n">
        <f aca="false">COUNTIF(G18:H18,"non")+COUNTIF(G18:H18,"à écrire")+IF(I18=0,1,0)</f>
        <v>0</v>
      </c>
    </row>
    <row r="19" customFormat="false" ht="24" hidden="false" customHeight="true" outlineLevel="0" collapsed="false">
      <c r="A19" s="14" t="s">
        <v>123</v>
      </c>
      <c r="B19" s="15" t="s">
        <v>124</v>
      </c>
      <c r="C19" s="16" t="s">
        <v>81</v>
      </c>
      <c r="D19" s="17" t="s">
        <v>125</v>
      </c>
      <c r="E19" s="17" t="n">
        <v>3</v>
      </c>
      <c r="F19" s="17" t="n">
        <v>3</v>
      </c>
      <c r="G19" s="17" t="s">
        <v>83</v>
      </c>
      <c r="H19" s="17" t="s">
        <v>84</v>
      </c>
      <c r="I19" s="17" t="n">
        <v>5</v>
      </c>
      <c r="J19" s="15" t="s">
        <v>126</v>
      </c>
      <c r="K19" s="18" t="n">
        <f aca="false">COUNTIF(G19:H19,"non")+COUNTIF(G19:H19,"à écrire")+IF(I19=0,1,0)</f>
        <v>0</v>
      </c>
    </row>
    <row r="20" customFormat="false" ht="24" hidden="false" customHeight="true" outlineLevel="0" collapsed="false">
      <c r="A20" s="14" t="s">
        <v>127</v>
      </c>
      <c r="B20" s="15" t="s">
        <v>128</v>
      </c>
      <c r="C20" s="20" t="s">
        <v>129</v>
      </c>
      <c r="D20" s="17" t="s">
        <v>130</v>
      </c>
      <c r="E20" s="17" t="n">
        <v>0</v>
      </c>
      <c r="F20" s="17" t="n">
        <v>0</v>
      </c>
      <c r="G20" s="21" t="s">
        <v>131</v>
      </c>
      <c r="H20" s="17" t="s">
        <v>24</v>
      </c>
      <c r="I20" s="17" t="n">
        <v>0</v>
      </c>
      <c r="J20" s="15" t="s">
        <v>132</v>
      </c>
      <c r="K20" s="18" t="n">
        <f aca="false">COUNTIF(G20:H20,"non")+COUNTIF(G20:H20,"à écrire")+IF(I20=0,1,0)</f>
        <v>2</v>
      </c>
    </row>
    <row r="21" customFormat="false" ht="24" hidden="false" customHeight="true" outlineLevel="0" collapsed="false">
      <c r="A21" s="14" t="s">
        <v>133</v>
      </c>
      <c r="B21" s="15" t="s">
        <v>134</v>
      </c>
      <c r="C21" s="20" t="s">
        <v>135</v>
      </c>
      <c r="D21" s="17" t="s">
        <v>136</v>
      </c>
      <c r="E21" s="17" t="n">
        <v>0</v>
      </c>
      <c r="F21" s="17" t="n">
        <v>0</v>
      </c>
      <c r="G21" s="21" t="s">
        <v>131</v>
      </c>
      <c r="H21" s="17" t="s">
        <v>24</v>
      </c>
      <c r="I21" s="17" t="n">
        <v>0</v>
      </c>
      <c r="J21" s="15" t="s">
        <v>137</v>
      </c>
      <c r="K21" s="18" t="n">
        <f aca="false">COUNTIF(G21:H21,"non")+COUNTIF(G21:H21,"à écrire")+IF(I21=0,1,0)</f>
        <v>2</v>
      </c>
    </row>
    <row r="22" customFormat="false" ht="24" hidden="false" customHeight="true" outlineLevel="0" collapsed="false">
      <c r="A22" s="14" t="s">
        <v>138</v>
      </c>
      <c r="B22" s="15" t="s">
        <v>139</v>
      </c>
      <c r="C22" s="20" t="s">
        <v>129</v>
      </c>
      <c r="D22" s="17" t="s">
        <v>140</v>
      </c>
      <c r="E22" s="17" t="n">
        <v>30</v>
      </c>
      <c r="F22" s="17" t="n">
        <v>3</v>
      </c>
      <c r="G22" s="17" t="s">
        <v>83</v>
      </c>
      <c r="H22" s="17" t="s">
        <v>24</v>
      </c>
      <c r="I22" s="17" t="n">
        <v>2</v>
      </c>
      <c r="J22" s="15" t="s">
        <v>141</v>
      </c>
      <c r="K22" s="18" t="n">
        <f aca="false">COUNTIF(G22:H22,"non")+COUNTIF(G22:H22,"à écrire")+IF(I22=0,1,0)</f>
        <v>0</v>
      </c>
    </row>
    <row r="23" customFormat="false" ht="15" hidden="false" customHeight="false" outlineLevel="0" collapsed="false">
      <c r="A23" s="22" t="s">
        <v>142</v>
      </c>
      <c r="B23" s="23"/>
      <c r="C23" s="23"/>
      <c r="D23" s="23"/>
      <c r="E23" s="24" t="n">
        <f aca="false">SUM(E5:E22)</f>
        <v>101</v>
      </c>
      <c r="F23" s="24" t="n">
        <f aca="false">SUM(F5:F22)</f>
        <v>64</v>
      </c>
      <c r="G23" s="23"/>
      <c r="H23" s="23"/>
      <c r="I23" s="23"/>
      <c r="J23" s="23"/>
      <c r="K23" s="24" t="n">
        <f aca="false">SUM(K5:K22)</f>
        <v>4</v>
      </c>
    </row>
    <row r="25" customFormat="false" ht="15" hidden="false" customHeight="false" outlineLevel="0" collapsed="false">
      <c r="A25" s="10" t="s">
        <v>143</v>
      </c>
    </row>
    <row r="26" customFormat="false" ht="15" hidden="false" customHeight="false" outlineLevel="0" collapsed="false">
      <c r="A26" s="25" t="s">
        <v>144</v>
      </c>
    </row>
    <row r="27" customFormat="false" ht="15" hidden="false" customHeight="false" outlineLevel="0" collapsed="false">
      <c r="A27" s="25" t="s">
        <v>145</v>
      </c>
    </row>
    <row r="28" customFormat="false" ht="15" hidden="false" customHeight="false" outlineLevel="0" collapsed="false">
      <c r="A28" s="25" t="s">
        <v>146</v>
      </c>
    </row>
    <row r="29" customFormat="false" ht="15" hidden="false" customHeight="false" outlineLevel="0" collapsed="false">
      <c r="A29" s="25" t="s">
        <v>147</v>
      </c>
    </row>
  </sheetData>
  <autoFilter ref="A4:K22"/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C5:C22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5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149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68</v>
      </c>
      <c r="B4" s="3" t="s">
        <v>2</v>
      </c>
      <c r="C4" s="3" t="s">
        <v>150</v>
      </c>
      <c r="D4" s="3" t="s">
        <v>70</v>
      </c>
      <c r="E4" s="3" t="s">
        <v>151</v>
      </c>
      <c r="F4" s="3" t="s">
        <v>77</v>
      </c>
    </row>
    <row r="5" customFormat="false" ht="15" hidden="false" customHeight="false" outlineLevel="0" collapsed="false">
      <c r="A5" s="17" t="s">
        <v>79</v>
      </c>
      <c r="B5" s="14" t="s">
        <v>152</v>
      </c>
      <c r="C5" s="26" t="s">
        <v>153</v>
      </c>
      <c r="D5" s="16" t="s">
        <v>81</v>
      </c>
      <c r="E5" s="17" t="s">
        <v>7</v>
      </c>
      <c r="F5" s="17" t="s">
        <v>85</v>
      </c>
    </row>
    <row r="6" customFormat="false" ht="15" hidden="false" customHeight="false" outlineLevel="0" collapsed="false">
      <c r="A6" s="17" t="s">
        <v>79</v>
      </c>
      <c r="B6" s="14" t="s">
        <v>154</v>
      </c>
      <c r="C6" s="26" t="s">
        <v>155</v>
      </c>
      <c r="D6" s="16" t="s">
        <v>81</v>
      </c>
      <c r="E6" s="17" t="s">
        <v>7</v>
      </c>
      <c r="F6" s="17" t="s">
        <v>85</v>
      </c>
    </row>
    <row r="7" customFormat="false" ht="15" hidden="false" customHeight="false" outlineLevel="0" collapsed="false">
      <c r="A7" s="17" t="s">
        <v>79</v>
      </c>
      <c r="B7" s="14" t="s">
        <v>156</v>
      </c>
      <c r="C7" s="26" t="s">
        <v>157</v>
      </c>
      <c r="D7" s="19" t="s">
        <v>88</v>
      </c>
      <c r="E7" s="17" t="s">
        <v>36</v>
      </c>
      <c r="F7" s="17" t="s">
        <v>85</v>
      </c>
    </row>
    <row r="8" customFormat="false" ht="15" hidden="false" customHeight="false" outlineLevel="0" collapsed="false">
      <c r="A8" s="17" t="s">
        <v>79</v>
      </c>
      <c r="B8" s="14" t="s">
        <v>158</v>
      </c>
      <c r="C8" s="26" t="s">
        <v>159</v>
      </c>
      <c r="D8" s="16" t="s">
        <v>81</v>
      </c>
      <c r="E8" s="17" t="s">
        <v>36</v>
      </c>
      <c r="F8" s="17" t="s">
        <v>85</v>
      </c>
    </row>
    <row r="9" customFormat="false" ht="15" hidden="false" customHeight="false" outlineLevel="0" collapsed="false">
      <c r="A9" s="17" t="s">
        <v>79</v>
      </c>
      <c r="B9" s="14" t="s">
        <v>160</v>
      </c>
      <c r="C9" s="26" t="s">
        <v>161</v>
      </c>
      <c r="D9" s="19" t="s">
        <v>88</v>
      </c>
      <c r="E9" s="17" t="s">
        <v>36</v>
      </c>
      <c r="F9" s="17" t="s">
        <v>85</v>
      </c>
    </row>
    <row r="10" customFormat="false" ht="15" hidden="false" customHeight="false" outlineLevel="0" collapsed="false">
      <c r="A10" s="17" t="s">
        <v>86</v>
      </c>
      <c r="B10" s="14" t="s">
        <v>162</v>
      </c>
      <c r="C10" s="26" t="s">
        <v>163</v>
      </c>
      <c r="D10" s="19" t="s">
        <v>88</v>
      </c>
      <c r="E10" s="17" t="s">
        <v>7</v>
      </c>
      <c r="F10" s="17" t="s">
        <v>85</v>
      </c>
    </row>
    <row r="11" customFormat="false" ht="15" hidden="false" customHeight="false" outlineLevel="0" collapsed="false">
      <c r="A11" s="17" t="s">
        <v>86</v>
      </c>
      <c r="B11" s="14" t="s">
        <v>164</v>
      </c>
      <c r="C11" s="26" t="s">
        <v>165</v>
      </c>
      <c r="D11" s="20" t="s">
        <v>129</v>
      </c>
      <c r="E11" s="17" t="s">
        <v>36</v>
      </c>
      <c r="F11" s="17" t="s">
        <v>85</v>
      </c>
    </row>
    <row r="12" customFormat="false" ht="15" hidden="false" customHeight="false" outlineLevel="0" collapsed="false">
      <c r="A12" s="17" t="s">
        <v>90</v>
      </c>
      <c r="B12" s="14" t="s">
        <v>166</v>
      </c>
      <c r="C12" s="26" t="s">
        <v>167</v>
      </c>
      <c r="D12" s="19" t="s">
        <v>88</v>
      </c>
      <c r="E12" s="17" t="s">
        <v>13</v>
      </c>
      <c r="F12" s="17" t="s">
        <v>85</v>
      </c>
    </row>
    <row r="13" customFormat="false" ht="15" hidden="false" customHeight="false" outlineLevel="0" collapsed="false">
      <c r="A13" s="17" t="s">
        <v>90</v>
      </c>
      <c r="B13" s="14" t="s">
        <v>168</v>
      </c>
      <c r="C13" s="26" t="s">
        <v>169</v>
      </c>
      <c r="D13" s="16" t="s">
        <v>81</v>
      </c>
      <c r="E13" s="17" t="s">
        <v>13</v>
      </c>
      <c r="F13" s="17" t="s">
        <v>85</v>
      </c>
    </row>
    <row r="14" customFormat="false" ht="15" hidden="false" customHeight="false" outlineLevel="0" collapsed="false">
      <c r="A14" s="17" t="s">
        <v>90</v>
      </c>
      <c r="B14" s="14" t="s">
        <v>170</v>
      </c>
      <c r="C14" s="26" t="s">
        <v>171</v>
      </c>
      <c r="D14" s="20" t="s">
        <v>129</v>
      </c>
      <c r="E14" s="17" t="s">
        <v>13</v>
      </c>
      <c r="F14" s="17" t="s">
        <v>85</v>
      </c>
    </row>
    <row r="15" customFormat="false" ht="15" hidden="false" customHeight="false" outlineLevel="0" collapsed="false">
      <c r="A15" s="17" t="s">
        <v>90</v>
      </c>
      <c r="B15" s="14" t="s">
        <v>172</v>
      </c>
      <c r="C15" s="26" t="s">
        <v>173</v>
      </c>
      <c r="D15" s="20" t="s">
        <v>129</v>
      </c>
      <c r="E15" s="17" t="s">
        <v>13</v>
      </c>
      <c r="F15" s="17" t="s">
        <v>85</v>
      </c>
    </row>
    <row r="16" customFormat="false" ht="15" hidden="false" customHeight="false" outlineLevel="0" collapsed="false">
      <c r="A16" s="17" t="s">
        <v>90</v>
      </c>
      <c r="B16" s="14" t="s">
        <v>174</v>
      </c>
      <c r="C16" s="26" t="s">
        <v>175</v>
      </c>
      <c r="D16" s="19" t="s">
        <v>88</v>
      </c>
      <c r="E16" s="17" t="s">
        <v>13</v>
      </c>
      <c r="F16" s="17" t="s">
        <v>85</v>
      </c>
    </row>
    <row r="17" customFormat="false" ht="15" hidden="false" customHeight="false" outlineLevel="0" collapsed="false">
      <c r="A17" s="17" t="s">
        <v>90</v>
      </c>
      <c r="B17" s="14" t="s">
        <v>176</v>
      </c>
      <c r="C17" s="26" t="s">
        <v>177</v>
      </c>
      <c r="D17" s="20" t="s">
        <v>129</v>
      </c>
      <c r="E17" s="17" t="s">
        <v>13</v>
      </c>
      <c r="F17" s="17" t="s">
        <v>85</v>
      </c>
    </row>
    <row r="18" customFormat="false" ht="15" hidden="false" customHeight="false" outlineLevel="0" collapsed="false">
      <c r="A18" s="17" t="s">
        <v>93</v>
      </c>
      <c r="B18" s="14" t="s">
        <v>178</v>
      </c>
      <c r="C18" s="26" t="s">
        <v>179</v>
      </c>
      <c r="D18" s="16" t="s">
        <v>81</v>
      </c>
      <c r="E18" s="17" t="s">
        <v>7</v>
      </c>
      <c r="F18" s="17" t="s">
        <v>85</v>
      </c>
    </row>
    <row r="19" customFormat="false" ht="15" hidden="false" customHeight="false" outlineLevel="0" collapsed="false">
      <c r="A19" s="17" t="s">
        <v>93</v>
      </c>
      <c r="B19" s="14" t="s">
        <v>180</v>
      </c>
      <c r="C19" s="26" t="s">
        <v>181</v>
      </c>
      <c r="D19" s="16" t="s">
        <v>81</v>
      </c>
      <c r="E19" s="17" t="s">
        <v>36</v>
      </c>
      <c r="F19" s="17" t="s">
        <v>85</v>
      </c>
    </row>
    <row r="20" customFormat="false" ht="15" hidden="false" customHeight="false" outlineLevel="0" collapsed="false">
      <c r="A20" s="17" t="s">
        <v>93</v>
      </c>
      <c r="B20" s="14" t="s">
        <v>182</v>
      </c>
      <c r="C20" s="26" t="s">
        <v>183</v>
      </c>
      <c r="D20" s="19" t="s">
        <v>88</v>
      </c>
      <c r="E20" s="17" t="s">
        <v>36</v>
      </c>
      <c r="F20" s="17" t="s">
        <v>85</v>
      </c>
    </row>
    <row r="21" customFormat="false" ht="15" hidden="false" customHeight="false" outlineLevel="0" collapsed="false">
      <c r="A21" s="17" t="s">
        <v>93</v>
      </c>
      <c r="B21" s="14" t="s">
        <v>184</v>
      </c>
      <c r="C21" s="26" t="s">
        <v>185</v>
      </c>
      <c r="D21" s="20" t="s">
        <v>129</v>
      </c>
      <c r="E21" s="17" t="s">
        <v>36</v>
      </c>
      <c r="F21" s="17" t="s">
        <v>85</v>
      </c>
    </row>
    <row r="22" customFormat="false" ht="15" hidden="false" customHeight="false" outlineLevel="0" collapsed="false">
      <c r="A22" s="17" t="s">
        <v>93</v>
      </c>
      <c r="B22" s="14" t="s">
        <v>186</v>
      </c>
      <c r="C22" s="26" t="s">
        <v>187</v>
      </c>
      <c r="D22" s="20" t="s">
        <v>129</v>
      </c>
      <c r="E22" s="17" t="s">
        <v>16</v>
      </c>
      <c r="F22" s="17" t="s">
        <v>85</v>
      </c>
    </row>
    <row r="23" customFormat="false" ht="15" hidden="false" customHeight="false" outlineLevel="0" collapsed="false">
      <c r="A23" s="17" t="s">
        <v>95</v>
      </c>
      <c r="B23" s="14" t="s">
        <v>188</v>
      </c>
      <c r="C23" s="26" t="s">
        <v>189</v>
      </c>
      <c r="D23" s="19" t="s">
        <v>88</v>
      </c>
      <c r="E23" s="17" t="s">
        <v>7</v>
      </c>
      <c r="F23" s="17" t="s">
        <v>85</v>
      </c>
    </row>
    <row r="24" customFormat="false" ht="15" hidden="false" customHeight="false" outlineLevel="0" collapsed="false">
      <c r="A24" s="17" t="s">
        <v>95</v>
      </c>
      <c r="B24" s="14" t="s">
        <v>190</v>
      </c>
      <c r="C24" s="26" t="s">
        <v>191</v>
      </c>
      <c r="D24" s="20" t="s">
        <v>129</v>
      </c>
      <c r="E24" s="17" t="s">
        <v>7</v>
      </c>
      <c r="F24" s="17" t="s">
        <v>85</v>
      </c>
    </row>
    <row r="25" customFormat="false" ht="15" hidden="false" customHeight="false" outlineLevel="0" collapsed="false">
      <c r="A25" s="17" t="s">
        <v>95</v>
      </c>
      <c r="B25" s="14" t="s">
        <v>192</v>
      </c>
      <c r="C25" s="26" t="s">
        <v>193</v>
      </c>
      <c r="D25" s="20" t="s">
        <v>129</v>
      </c>
      <c r="E25" s="17" t="s">
        <v>44</v>
      </c>
      <c r="F25" s="17" t="s">
        <v>85</v>
      </c>
    </row>
    <row r="26" customFormat="false" ht="15" hidden="false" customHeight="false" outlineLevel="0" collapsed="false">
      <c r="A26" s="17" t="s">
        <v>95</v>
      </c>
      <c r="B26" s="14" t="s">
        <v>194</v>
      </c>
      <c r="C26" s="26" t="s">
        <v>195</v>
      </c>
      <c r="D26" s="16" t="s">
        <v>81</v>
      </c>
      <c r="E26" s="17" t="s">
        <v>36</v>
      </c>
      <c r="F26" s="17" t="s">
        <v>85</v>
      </c>
    </row>
    <row r="27" customFormat="false" ht="15" hidden="false" customHeight="false" outlineLevel="0" collapsed="false">
      <c r="A27" s="17" t="s">
        <v>97</v>
      </c>
      <c r="B27" s="14" t="s">
        <v>196</v>
      </c>
      <c r="C27" s="26" t="s">
        <v>197</v>
      </c>
      <c r="D27" s="16" t="s">
        <v>81</v>
      </c>
      <c r="E27" s="17" t="s">
        <v>7</v>
      </c>
      <c r="F27" s="17" t="s">
        <v>85</v>
      </c>
    </row>
    <row r="28" customFormat="false" ht="15" hidden="false" customHeight="false" outlineLevel="0" collapsed="false">
      <c r="A28" s="17" t="s">
        <v>97</v>
      </c>
      <c r="B28" s="14" t="s">
        <v>198</v>
      </c>
      <c r="C28" s="26" t="s">
        <v>199</v>
      </c>
      <c r="D28" s="19" t="s">
        <v>88</v>
      </c>
      <c r="E28" s="17" t="s">
        <v>7</v>
      </c>
      <c r="F28" s="17" t="s">
        <v>85</v>
      </c>
    </row>
    <row r="29" customFormat="false" ht="15" hidden="false" customHeight="false" outlineLevel="0" collapsed="false">
      <c r="A29" s="17" t="s">
        <v>97</v>
      </c>
      <c r="B29" s="14" t="s">
        <v>200</v>
      </c>
      <c r="C29" s="26" t="s">
        <v>201</v>
      </c>
      <c r="D29" s="19" t="s">
        <v>88</v>
      </c>
      <c r="E29" s="17" t="s">
        <v>7</v>
      </c>
      <c r="F29" s="17" t="s">
        <v>85</v>
      </c>
    </row>
    <row r="30" customFormat="false" ht="15" hidden="false" customHeight="false" outlineLevel="0" collapsed="false">
      <c r="A30" s="17" t="s">
        <v>97</v>
      </c>
      <c r="B30" s="14" t="s">
        <v>202</v>
      </c>
      <c r="C30" s="26" t="s">
        <v>203</v>
      </c>
      <c r="D30" s="19" t="s">
        <v>88</v>
      </c>
      <c r="E30" s="17" t="s">
        <v>7</v>
      </c>
      <c r="F30" s="17" t="s">
        <v>85</v>
      </c>
    </row>
    <row r="31" customFormat="false" ht="15" hidden="false" customHeight="false" outlineLevel="0" collapsed="false">
      <c r="A31" s="17" t="s">
        <v>99</v>
      </c>
      <c r="B31" s="14" t="s">
        <v>204</v>
      </c>
      <c r="C31" s="26" t="s">
        <v>205</v>
      </c>
      <c r="D31" s="16" t="s">
        <v>81</v>
      </c>
      <c r="E31" s="17" t="s">
        <v>16</v>
      </c>
      <c r="F31" s="17" t="s">
        <v>85</v>
      </c>
    </row>
    <row r="32" customFormat="false" ht="15" hidden="false" customHeight="false" outlineLevel="0" collapsed="false">
      <c r="A32" s="17" t="s">
        <v>99</v>
      </c>
      <c r="B32" s="14" t="s">
        <v>206</v>
      </c>
      <c r="C32" s="26" t="s">
        <v>207</v>
      </c>
      <c r="D32" s="19" t="s">
        <v>88</v>
      </c>
      <c r="E32" s="17" t="s">
        <v>16</v>
      </c>
      <c r="F32" s="17" t="s">
        <v>85</v>
      </c>
    </row>
    <row r="33" customFormat="false" ht="15" hidden="false" customHeight="false" outlineLevel="0" collapsed="false">
      <c r="A33" s="17" t="s">
        <v>99</v>
      </c>
      <c r="B33" s="14" t="s">
        <v>208</v>
      </c>
      <c r="C33" s="26" t="s">
        <v>209</v>
      </c>
      <c r="D33" s="16" t="s">
        <v>81</v>
      </c>
      <c r="E33" s="17" t="s">
        <v>10</v>
      </c>
      <c r="F33" s="17" t="s">
        <v>85</v>
      </c>
    </row>
    <row r="34" customFormat="false" ht="15" hidden="false" customHeight="false" outlineLevel="0" collapsed="false">
      <c r="A34" s="17" t="s">
        <v>99</v>
      </c>
      <c r="B34" s="14" t="s">
        <v>210</v>
      </c>
      <c r="C34" s="26" t="s">
        <v>211</v>
      </c>
      <c r="D34" s="19" t="s">
        <v>88</v>
      </c>
      <c r="E34" s="17" t="s">
        <v>16</v>
      </c>
      <c r="F34" s="17" t="s">
        <v>85</v>
      </c>
    </row>
    <row r="35" customFormat="false" ht="15" hidden="false" customHeight="false" outlineLevel="0" collapsed="false">
      <c r="A35" s="17" t="s">
        <v>99</v>
      </c>
      <c r="B35" s="14" t="s">
        <v>212</v>
      </c>
      <c r="C35" s="26" t="s">
        <v>213</v>
      </c>
      <c r="D35" s="19" t="s">
        <v>88</v>
      </c>
      <c r="E35" s="17" t="s">
        <v>16</v>
      </c>
      <c r="F35" s="17" t="s">
        <v>85</v>
      </c>
    </row>
    <row r="36" customFormat="false" ht="15" hidden="false" customHeight="false" outlineLevel="0" collapsed="false">
      <c r="A36" s="17" t="s">
        <v>102</v>
      </c>
      <c r="B36" s="14" t="s">
        <v>214</v>
      </c>
      <c r="C36" s="26" t="s">
        <v>215</v>
      </c>
      <c r="D36" s="16" t="s">
        <v>81</v>
      </c>
      <c r="E36" s="17" t="s">
        <v>7</v>
      </c>
      <c r="F36" s="17" t="s">
        <v>85</v>
      </c>
    </row>
    <row r="37" customFormat="false" ht="15" hidden="false" customHeight="false" outlineLevel="0" collapsed="false">
      <c r="A37" s="17" t="s">
        <v>102</v>
      </c>
      <c r="B37" s="14" t="s">
        <v>216</v>
      </c>
      <c r="C37" s="26" t="s">
        <v>217</v>
      </c>
      <c r="D37" s="19" t="s">
        <v>88</v>
      </c>
      <c r="E37" s="17" t="s">
        <v>36</v>
      </c>
      <c r="F37" s="17" t="s">
        <v>85</v>
      </c>
    </row>
    <row r="38" customFormat="false" ht="15" hidden="false" customHeight="false" outlineLevel="0" collapsed="false">
      <c r="A38" s="17" t="s">
        <v>102</v>
      </c>
      <c r="B38" s="14" t="s">
        <v>218</v>
      </c>
      <c r="C38" s="26" t="s">
        <v>219</v>
      </c>
      <c r="D38" s="19" t="s">
        <v>88</v>
      </c>
      <c r="E38" s="17" t="s">
        <v>16</v>
      </c>
      <c r="F38" s="17" t="s">
        <v>85</v>
      </c>
    </row>
    <row r="39" customFormat="false" ht="15" hidden="false" customHeight="false" outlineLevel="0" collapsed="false">
      <c r="A39" s="17" t="s">
        <v>102</v>
      </c>
      <c r="B39" s="14" t="s">
        <v>220</v>
      </c>
      <c r="C39" s="26" t="s">
        <v>221</v>
      </c>
      <c r="D39" s="20" t="s">
        <v>129</v>
      </c>
      <c r="E39" s="17" t="s">
        <v>36</v>
      </c>
      <c r="F39" s="17" t="s">
        <v>85</v>
      </c>
    </row>
    <row r="40" customFormat="false" ht="15" hidden="false" customHeight="false" outlineLevel="0" collapsed="false">
      <c r="A40" s="17" t="s">
        <v>104</v>
      </c>
      <c r="B40" s="14" t="s">
        <v>222</v>
      </c>
      <c r="C40" s="26" t="s">
        <v>223</v>
      </c>
      <c r="D40" s="16" t="s">
        <v>81</v>
      </c>
      <c r="E40" s="17" t="s">
        <v>13</v>
      </c>
      <c r="F40" s="17" t="s">
        <v>85</v>
      </c>
    </row>
    <row r="41" customFormat="false" ht="15" hidden="false" customHeight="false" outlineLevel="0" collapsed="false">
      <c r="A41" s="17" t="s">
        <v>104</v>
      </c>
      <c r="B41" s="14" t="s">
        <v>224</v>
      </c>
      <c r="C41" s="26" t="s">
        <v>225</v>
      </c>
      <c r="D41" s="16" t="s">
        <v>81</v>
      </c>
      <c r="E41" s="17" t="s">
        <v>13</v>
      </c>
      <c r="F41" s="17" t="s">
        <v>85</v>
      </c>
    </row>
    <row r="42" customFormat="false" ht="15" hidden="false" customHeight="false" outlineLevel="0" collapsed="false">
      <c r="A42" s="17" t="s">
        <v>104</v>
      </c>
      <c r="B42" s="14" t="s">
        <v>226</v>
      </c>
      <c r="C42" s="26" t="s">
        <v>227</v>
      </c>
      <c r="D42" s="19" t="s">
        <v>88</v>
      </c>
      <c r="E42" s="17" t="s">
        <v>13</v>
      </c>
      <c r="F42" s="17" t="s">
        <v>85</v>
      </c>
    </row>
    <row r="43" customFormat="false" ht="15" hidden="false" customHeight="false" outlineLevel="0" collapsed="false">
      <c r="A43" s="17" t="s">
        <v>104</v>
      </c>
      <c r="B43" s="14" t="s">
        <v>228</v>
      </c>
      <c r="C43" s="26" t="s">
        <v>229</v>
      </c>
      <c r="D43" s="16" t="s">
        <v>81</v>
      </c>
      <c r="E43" s="17" t="s">
        <v>13</v>
      </c>
      <c r="F43" s="17" t="s">
        <v>85</v>
      </c>
    </row>
    <row r="44" customFormat="false" ht="15" hidden="false" customHeight="false" outlineLevel="0" collapsed="false">
      <c r="A44" s="17" t="s">
        <v>104</v>
      </c>
      <c r="B44" s="14" t="s">
        <v>230</v>
      </c>
      <c r="C44" s="26" t="s">
        <v>231</v>
      </c>
      <c r="D44" s="19" t="s">
        <v>88</v>
      </c>
      <c r="E44" s="17" t="s">
        <v>22</v>
      </c>
      <c r="F44" s="17" t="s">
        <v>85</v>
      </c>
    </row>
    <row r="45" customFormat="false" ht="15" hidden="false" customHeight="false" outlineLevel="0" collapsed="false">
      <c r="A45" s="17" t="s">
        <v>104</v>
      </c>
      <c r="B45" s="14" t="s">
        <v>232</v>
      </c>
      <c r="C45" s="26" t="s">
        <v>233</v>
      </c>
      <c r="D45" s="19" t="s">
        <v>88</v>
      </c>
      <c r="E45" s="17" t="s">
        <v>13</v>
      </c>
      <c r="F45" s="17" t="s">
        <v>85</v>
      </c>
    </row>
    <row r="46" customFormat="false" ht="15" hidden="false" customHeight="false" outlineLevel="0" collapsed="false">
      <c r="A46" s="17" t="s">
        <v>104</v>
      </c>
      <c r="B46" s="14" t="s">
        <v>234</v>
      </c>
      <c r="C46" s="26" t="s">
        <v>235</v>
      </c>
      <c r="D46" s="20" t="s">
        <v>129</v>
      </c>
      <c r="E46" s="17" t="s">
        <v>36</v>
      </c>
      <c r="F46" s="17" t="s">
        <v>85</v>
      </c>
    </row>
    <row r="47" customFormat="false" ht="15" hidden="false" customHeight="false" outlineLevel="0" collapsed="false">
      <c r="A47" s="17" t="s">
        <v>107</v>
      </c>
      <c r="B47" s="14" t="s">
        <v>236</v>
      </c>
      <c r="C47" s="26" t="s">
        <v>237</v>
      </c>
      <c r="D47" s="16" t="s">
        <v>81</v>
      </c>
      <c r="E47" s="17" t="s">
        <v>7</v>
      </c>
      <c r="F47" s="17" t="s">
        <v>85</v>
      </c>
    </row>
    <row r="48" customFormat="false" ht="15" hidden="false" customHeight="false" outlineLevel="0" collapsed="false">
      <c r="A48" s="17" t="s">
        <v>107</v>
      </c>
      <c r="B48" s="14" t="s">
        <v>238</v>
      </c>
      <c r="C48" s="26" t="s">
        <v>239</v>
      </c>
      <c r="D48" s="19" t="s">
        <v>88</v>
      </c>
      <c r="E48" s="17" t="s">
        <v>7</v>
      </c>
      <c r="F48" s="17" t="s">
        <v>85</v>
      </c>
    </row>
    <row r="49" customFormat="false" ht="15" hidden="false" customHeight="false" outlineLevel="0" collapsed="false">
      <c r="A49" s="17" t="s">
        <v>107</v>
      </c>
      <c r="B49" s="14" t="s">
        <v>240</v>
      </c>
      <c r="C49" s="26" t="s">
        <v>241</v>
      </c>
      <c r="D49" s="16" t="s">
        <v>81</v>
      </c>
      <c r="E49" s="17" t="s">
        <v>36</v>
      </c>
      <c r="F49" s="17" t="s">
        <v>85</v>
      </c>
    </row>
    <row r="50" customFormat="false" ht="15" hidden="false" customHeight="false" outlineLevel="0" collapsed="false">
      <c r="A50" s="17" t="s">
        <v>107</v>
      </c>
      <c r="B50" s="14" t="s">
        <v>242</v>
      </c>
      <c r="C50" s="26" t="s">
        <v>243</v>
      </c>
      <c r="D50" s="16" t="s">
        <v>81</v>
      </c>
      <c r="E50" s="17" t="s">
        <v>13</v>
      </c>
      <c r="F50" s="17" t="s">
        <v>85</v>
      </c>
    </row>
    <row r="51" customFormat="false" ht="15" hidden="false" customHeight="false" outlineLevel="0" collapsed="false">
      <c r="A51" s="17" t="s">
        <v>107</v>
      </c>
      <c r="B51" s="14" t="s">
        <v>244</v>
      </c>
      <c r="C51" s="26" t="s">
        <v>245</v>
      </c>
      <c r="D51" s="19" t="s">
        <v>88</v>
      </c>
      <c r="E51" s="17" t="s">
        <v>32</v>
      </c>
      <c r="F51" s="17" t="s">
        <v>85</v>
      </c>
    </row>
    <row r="52" customFormat="false" ht="15" hidden="false" customHeight="false" outlineLevel="0" collapsed="false">
      <c r="A52" s="17" t="s">
        <v>110</v>
      </c>
      <c r="B52" s="14" t="s">
        <v>246</v>
      </c>
      <c r="C52" s="26" t="s">
        <v>247</v>
      </c>
      <c r="D52" s="16" t="s">
        <v>81</v>
      </c>
      <c r="E52" s="17" t="s">
        <v>32</v>
      </c>
      <c r="F52" s="17" t="s">
        <v>85</v>
      </c>
    </row>
    <row r="53" customFormat="false" ht="15" hidden="false" customHeight="false" outlineLevel="0" collapsed="false">
      <c r="A53" s="17" t="s">
        <v>110</v>
      </c>
      <c r="B53" s="14" t="s">
        <v>248</v>
      </c>
      <c r="C53" s="26" t="s">
        <v>249</v>
      </c>
      <c r="D53" s="16" t="s">
        <v>81</v>
      </c>
      <c r="E53" s="17" t="s">
        <v>27</v>
      </c>
      <c r="F53" s="17" t="s">
        <v>85</v>
      </c>
    </row>
    <row r="54" customFormat="false" ht="15" hidden="false" customHeight="false" outlineLevel="0" collapsed="false">
      <c r="A54" s="17" t="s">
        <v>110</v>
      </c>
      <c r="B54" s="14" t="s">
        <v>250</v>
      </c>
      <c r="C54" s="26" t="s">
        <v>251</v>
      </c>
      <c r="D54" s="16" t="s">
        <v>81</v>
      </c>
      <c r="E54" s="17" t="s">
        <v>30</v>
      </c>
      <c r="F54" s="17" t="s">
        <v>85</v>
      </c>
    </row>
    <row r="55" customFormat="false" ht="15" hidden="false" customHeight="false" outlineLevel="0" collapsed="false">
      <c r="A55" s="17" t="s">
        <v>113</v>
      </c>
      <c r="B55" s="14" t="s">
        <v>252</v>
      </c>
      <c r="C55" s="26" t="s">
        <v>253</v>
      </c>
      <c r="D55" s="16" t="s">
        <v>81</v>
      </c>
      <c r="E55" s="17" t="s">
        <v>7</v>
      </c>
      <c r="F55" s="17" t="s">
        <v>85</v>
      </c>
    </row>
    <row r="56" customFormat="false" ht="15" hidden="false" customHeight="false" outlineLevel="0" collapsed="false">
      <c r="A56" s="17" t="s">
        <v>113</v>
      </c>
      <c r="B56" s="14" t="s">
        <v>254</v>
      </c>
      <c r="C56" s="26" t="s">
        <v>255</v>
      </c>
      <c r="D56" s="19" t="s">
        <v>88</v>
      </c>
      <c r="E56" s="17" t="s">
        <v>7</v>
      </c>
      <c r="F56" s="17" t="s">
        <v>85</v>
      </c>
    </row>
    <row r="57" customFormat="false" ht="15" hidden="false" customHeight="false" outlineLevel="0" collapsed="false">
      <c r="A57" s="17" t="s">
        <v>113</v>
      </c>
      <c r="B57" s="14" t="s">
        <v>256</v>
      </c>
      <c r="C57" s="26" t="s">
        <v>257</v>
      </c>
      <c r="D57" s="20" t="s">
        <v>129</v>
      </c>
      <c r="E57" s="17" t="s">
        <v>7</v>
      </c>
      <c r="F57" s="17" t="s">
        <v>85</v>
      </c>
    </row>
    <row r="58" customFormat="false" ht="15" hidden="false" customHeight="false" outlineLevel="0" collapsed="false">
      <c r="A58" s="17" t="s">
        <v>113</v>
      </c>
      <c r="B58" s="14" t="s">
        <v>258</v>
      </c>
      <c r="C58" s="26" t="s">
        <v>259</v>
      </c>
      <c r="D58" s="20" t="s">
        <v>129</v>
      </c>
      <c r="E58" s="17" t="s">
        <v>16</v>
      </c>
      <c r="F58" s="17" t="s">
        <v>85</v>
      </c>
    </row>
    <row r="59" customFormat="false" ht="15" hidden="false" customHeight="false" outlineLevel="0" collapsed="false">
      <c r="A59" s="17" t="s">
        <v>113</v>
      </c>
      <c r="B59" s="14" t="s">
        <v>260</v>
      </c>
      <c r="C59" s="26" t="s">
        <v>261</v>
      </c>
      <c r="D59" s="19" t="s">
        <v>88</v>
      </c>
      <c r="E59" s="17" t="s">
        <v>7</v>
      </c>
      <c r="F59" s="17" t="s">
        <v>85</v>
      </c>
    </row>
    <row r="60" customFormat="false" ht="15" hidden="false" customHeight="false" outlineLevel="0" collapsed="false">
      <c r="A60" s="17" t="s">
        <v>113</v>
      </c>
      <c r="B60" s="14" t="s">
        <v>262</v>
      </c>
      <c r="C60" s="26" t="s">
        <v>263</v>
      </c>
      <c r="D60" s="20" t="s">
        <v>129</v>
      </c>
      <c r="E60" s="17" t="s">
        <v>16</v>
      </c>
      <c r="F60" s="17" t="s">
        <v>85</v>
      </c>
    </row>
    <row r="61" customFormat="false" ht="15" hidden="false" customHeight="false" outlineLevel="0" collapsed="false">
      <c r="A61" s="17" t="s">
        <v>116</v>
      </c>
      <c r="B61" s="14" t="s">
        <v>264</v>
      </c>
      <c r="C61" s="26" t="s">
        <v>265</v>
      </c>
      <c r="D61" s="16" t="s">
        <v>81</v>
      </c>
      <c r="E61" s="17" t="s">
        <v>22</v>
      </c>
      <c r="F61" s="17" t="s">
        <v>85</v>
      </c>
    </row>
    <row r="62" customFormat="false" ht="15" hidden="false" customHeight="false" outlineLevel="0" collapsed="false">
      <c r="A62" s="17" t="s">
        <v>116</v>
      </c>
      <c r="B62" s="14" t="s">
        <v>266</v>
      </c>
      <c r="C62" s="26" t="s">
        <v>267</v>
      </c>
      <c r="D62" s="16" t="s">
        <v>81</v>
      </c>
      <c r="E62" s="17" t="s">
        <v>22</v>
      </c>
      <c r="F62" s="17" t="s">
        <v>85</v>
      </c>
    </row>
    <row r="63" customFormat="false" ht="15" hidden="false" customHeight="false" outlineLevel="0" collapsed="false">
      <c r="A63" s="17" t="s">
        <v>116</v>
      </c>
      <c r="B63" s="14" t="s">
        <v>268</v>
      </c>
      <c r="C63" s="26" t="s">
        <v>269</v>
      </c>
      <c r="D63" s="16" t="s">
        <v>81</v>
      </c>
      <c r="E63" s="17" t="s">
        <v>22</v>
      </c>
      <c r="F63" s="17" t="s">
        <v>85</v>
      </c>
    </row>
    <row r="64" customFormat="false" ht="15" hidden="false" customHeight="false" outlineLevel="0" collapsed="false">
      <c r="A64" s="17" t="s">
        <v>119</v>
      </c>
      <c r="B64" s="14" t="s">
        <v>270</v>
      </c>
      <c r="C64" s="26" t="s">
        <v>271</v>
      </c>
      <c r="D64" s="16" t="s">
        <v>81</v>
      </c>
      <c r="E64" s="17" t="s">
        <v>19</v>
      </c>
      <c r="F64" s="17" t="s">
        <v>85</v>
      </c>
    </row>
    <row r="65" customFormat="false" ht="15" hidden="false" customHeight="false" outlineLevel="0" collapsed="false">
      <c r="A65" s="17" t="s">
        <v>119</v>
      </c>
      <c r="B65" s="14" t="s">
        <v>272</v>
      </c>
      <c r="C65" s="26" t="s">
        <v>273</v>
      </c>
      <c r="D65" s="16" t="s">
        <v>81</v>
      </c>
      <c r="E65" s="17" t="s">
        <v>19</v>
      </c>
      <c r="F65" s="17" t="s">
        <v>85</v>
      </c>
    </row>
    <row r="66" customFormat="false" ht="15" hidden="false" customHeight="false" outlineLevel="0" collapsed="false">
      <c r="A66" s="17" t="s">
        <v>119</v>
      </c>
      <c r="B66" s="14" t="s">
        <v>274</v>
      </c>
      <c r="C66" s="26" t="s">
        <v>275</v>
      </c>
      <c r="D66" s="19" t="s">
        <v>88</v>
      </c>
      <c r="E66" s="17" t="s">
        <v>19</v>
      </c>
      <c r="F66" s="17" t="s">
        <v>85</v>
      </c>
    </row>
    <row r="67" customFormat="false" ht="15" hidden="false" customHeight="false" outlineLevel="0" collapsed="false">
      <c r="A67" s="17" t="s">
        <v>119</v>
      </c>
      <c r="B67" s="14" t="s">
        <v>276</v>
      </c>
      <c r="C67" s="26" t="s">
        <v>277</v>
      </c>
      <c r="D67" s="16" t="s">
        <v>81</v>
      </c>
      <c r="E67" s="17" t="s">
        <v>19</v>
      </c>
      <c r="F67" s="17" t="s">
        <v>85</v>
      </c>
    </row>
    <row r="68" customFormat="false" ht="15" hidden="false" customHeight="false" outlineLevel="0" collapsed="false">
      <c r="A68" s="17" t="s">
        <v>119</v>
      </c>
      <c r="B68" s="14" t="s">
        <v>278</v>
      </c>
      <c r="C68" s="26" t="s">
        <v>279</v>
      </c>
      <c r="D68" s="19" t="s">
        <v>88</v>
      </c>
      <c r="E68" s="17" t="s">
        <v>19</v>
      </c>
      <c r="F68" s="17" t="s">
        <v>85</v>
      </c>
    </row>
    <row r="69" customFormat="false" ht="15" hidden="false" customHeight="false" outlineLevel="0" collapsed="false">
      <c r="A69" s="17" t="s">
        <v>119</v>
      </c>
      <c r="B69" s="14" t="s">
        <v>280</v>
      </c>
      <c r="C69" s="26" t="s">
        <v>281</v>
      </c>
      <c r="D69" s="19" t="s">
        <v>88</v>
      </c>
      <c r="E69" s="17" t="s">
        <v>19</v>
      </c>
      <c r="F69" s="17" t="s">
        <v>85</v>
      </c>
    </row>
    <row r="70" customFormat="false" ht="15" hidden="false" customHeight="false" outlineLevel="0" collapsed="false">
      <c r="A70" s="17" t="s">
        <v>119</v>
      </c>
      <c r="B70" s="14" t="s">
        <v>282</v>
      </c>
      <c r="C70" s="26" t="s">
        <v>283</v>
      </c>
      <c r="D70" s="20" t="s">
        <v>129</v>
      </c>
      <c r="E70" s="17" t="s">
        <v>19</v>
      </c>
      <c r="F70" s="17" t="s">
        <v>85</v>
      </c>
    </row>
    <row r="71" customFormat="false" ht="15" hidden="false" customHeight="false" outlineLevel="0" collapsed="false">
      <c r="A71" s="17" t="s">
        <v>119</v>
      </c>
      <c r="B71" s="14" t="s">
        <v>284</v>
      </c>
      <c r="C71" s="26" t="s">
        <v>285</v>
      </c>
      <c r="D71" s="20" t="s">
        <v>129</v>
      </c>
      <c r="E71" s="17" t="s">
        <v>19</v>
      </c>
      <c r="F71" s="17" t="s">
        <v>85</v>
      </c>
    </row>
    <row r="72" customFormat="false" ht="15" hidden="false" customHeight="false" outlineLevel="0" collapsed="false">
      <c r="A72" s="17" t="s">
        <v>119</v>
      </c>
      <c r="B72" s="14" t="s">
        <v>286</v>
      </c>
      <c r="C72" s="26" t="s">
        <v>287</v>
      </c>
      <c r="D72" s="19" t="s">
        <v>88</v>
      </c>
      <c r="E72" s="17" t="s">
        <v>19</v>
      </c>
      <c r="F72" s="17" t="s">
        <v>85</v>
      </c>
    </row>
    <row r="73" customFormat="false" ht="15" hidden="false" customHeight="false" outlineLevel="0" collapsed="false">
      <c r="A73" s="17" t="s">
        <v>119</v>
      </c>
      <c r="B73" s="14" t="s">
        <v>288</v>
      </c>
      <c r="C73" s="26" t="s">
        <v>289</v>
      </c>
      <c r="D73" s="20" t="s">
        <v>135</v>
      </c>
      <c r="E73" s="17" t="s">
        <v>19</v>
      </c>
      <c r="F73" s="27" t="s">
        <v>290</v>
      </c>
    </row>
    <row r="74" customFormat="false" ht="15" hidden="false" customHeight="false" outlineLevel="0" collapsed="false">
      <c r="A74" s="17" t="s">
        <v>123</v>
      </c>
      <c r="B74" s="14" t="s">
        <v>291</v>
      </c>
      <c r="C74" s="26" t="s">
        <v>292</v>
      </c>
      <c r="D74" s="16" t="s">
        <v>81</v>
      </c>
      <c r="E74" s="17" t="s">
        <v>7</v>
      </c>
      <c r="F74" s="17" t="s">
        <v>85</v>
      </c>
    </row>
    <row r="75" customFormat="false" ht="15" hidden="false" customHeight="false" outlineLevel="0" collapsed="false">
      <c r="A75" s="17" t="s">
        <v>123</v>
      </c>
      <c r="B75" s="14" t="s">
        <v>293</v>
      </c>
      <c r="C75" s="26" t="s">
        <v>294</v>
      </c>
      <c r="D75" s="16" t="s">
        <v>81</v>
      </c>
      <c r="E75" s="17" t="s">
        <v>19</v>
      </c>
      <c r="F75" s="17" t="s">
        <v>85</v>
      </c>
    </row>
    <row r="76" customFormat="false" ht="15" hidden="false" customHeight="false" outlineLevel="0" collapsed="false">
      <c r="A76" s="17" t="s">
        <v>123</v>
      </c>
      <c r="B76" s="14" t="s">
        <v>295</v>
      </c>
      <c r="C76" s="26" t="s">
        <v>296</v>
      </c>
      <c r="D76" s="16" t="s">
        <v>81</v>
      </c>
      <c r="E76" s="17" t="s">
        <v>19</v>
      </c>
      <c r="F76" s="17" t="s">
        <v>85</v>
      </c>
    </row>
    <row r="77" customFormat="false" ht="15" hidden="false" customHeight="false" outlineLevel="0" collapsed="false">
      <c r="A77" s="17" t="s">
        <v>127</v>
      </c>
      <c r="B77" s="14" t="s">
        <v>297</v>
      </c>
      <c r="C77" s="26" t="s">
        <v>298</v>
      </c>
      <c r="D77" s="20" t="s">
        <v>129</v>
      </c>
      <c r="E77" s="17" t="s">
        <v>7</v>
      </c>
      <c r="F77" s="27" t="s">
        <v>299</v>
      </c>
    </row>
    <row r="78" customFormat="false" ht="15" hidden="false" customHeight="false" outlineLevel="0" collapsed="false">
      <c r="A78" s="17" t="s">
        <v>138</v>
      </c>
      <c r="B78" s="14" t="s">
        <v>300</v>
      </c>
      <c r="C78" s="26" t="s">
        <v>301</v>
      </c>
      <c r="D78" s="19" t="s">
        <v>88</v>
      </c>
      <c r="E78" s="17" t="s">
        <v>7</v>
      </c>
      <c r="F78" s="27" t="s">
        <v>302</v>
      </c>
    </row>
    <row r="79" customFormat="false" ht="15" hidden="false" customHeight="false" outlineLevel="0" collapsed="false">
      <c r="A79" s="17" t="s">
        <v>138</v>
      </c>
      <c r="B79" s="14" t="s">
        <v>303</v>
      </c>
      <c r="C79" s="26" t="s">
        <v>304</v>
      </c>
      <c r="D79" s="19" t="s">
        <v>88</v>
      </c>
      <c r="E79" s="17" t="s">
        <v>16</v>
      </c>
      <c r="F79" s="27" t="s">
        <v>302</v>
      </c>
    </row>
    <row r="80" customFormat="false" ht="15" hidden="false" customHeight="false" outlineLevel="0" collapsed="false">
      <c r="A80" s="17" t="s">
        <v>138</v>
      </c>
      <c r="B80" s="14" t="s">
        <v>305</v>
      </c>
      <c r="C80" s="26" t="s">
        <v>306</v>
      </c>
      <c r="D80" s="16" t="s">
        <v>81</v>
      </c>
      <c r="E80" s="17" t="s">
        <v>36</v>
      </c>
      <c r="F80" s="27" t="s">
        <v>302</v>
      </c>
    </row>
    <row r="81" customFormat="false" ht="15" hidden="false" customHeight="false" outlineLevel="0" collapsed="false">
      <c r="A81" s="17" t="s">
        <v>138</v>
      </c>
      <c r="B81" s="14" t="s">
        <v>307</v>
      </c>
      <c r="C81" s="26" t="s">
        <v>308</v>
      </c>
      <c r="D81" s="20" t="s">
        <v>129</v>
      </c>
      <c r="E81" s="17" t="s">
        <v>13</v>
      </c>
      <c r="F81" s="27" t="s">
        <v>302</v>
      </c>
    </row>
    <row r="82" customFormat="false" ht="15" hidden="false" customHeight="false" outlineLevel="0" collapsed="false">
      <c r="A82" s="17" t="s">
        <v>138</v>
      </c>
      <c r="B82" s="14" t="s">
        <v>309</v>
      </c>
      <c r="C82" s="26" t="s">
        <v>310</v>
      </c>
      <c r="D82" s="19" t="s">
        <v>88</v>
      </c>
      <c r="E82" s="17" t="s">
        <v>36</v>
      </c>
      <c r="F82" s="27" t="s">
        <v>302</v>
      </c>
    </row>
    <row r="83" customFormat="false" ht="15" hidden="false" customHeight="false" outlineLevel="0" collapsed="false">
      <c r="A83" s="17" t="s">
        <v>138</v>
      </c>
      <c r="B83" s="14" t="s">
        <v>311</v>
      </c>
      <c r="C83" s="26" t="s">
        <v>312</v>
      </c>
      <c r="D83" s="20" t="s">
        <v>129</v>
      </c>
      <c r="E83" s="17" t="s">
        <v>19</v>
      </c>
      <c r="F83" s="27" t="s">
        <v>302</v>
      </c>
    </row>
    <row r="85" customFormat="false" ht="15" hidden="false" customHeight="false" outlineLevel="0" collapsed="false">
      <c r="A85" s="10" t="s">
        <v>313</v>
      </c>
    </row>
    <row r="87" customFormat="false" ht="15" hidden="false" customHeight="false" outlineLevel="0" collapsed="false">
      <c r="A87" s="28" t="s">
        <v>314</v>
      </c>
      <c r="B87" s="18" t="n">
        <f aca="false">COUNTIF($D$5:$D$83,"Must")</f>
        <v>31</v>
      </c>
    </row>
    <row r="88" customFormat="false" ht="15" hidden="false" customHeight="false" outlineLevel="0" collapsed="false">
      <c r="A88" s="28" t="s">
        <v>315</v>
      </c>
      <c r="B88" s="18" t="n">
        <f aca="false">COUNTIF($D$5:$D$83,"Must")+COUNTIF($D$5:$D$83,"Should")</f>
        <v>60</v>
      </c>
    </row>
    <row r="89" customFormat="false" ht="15" hidden="false" customHeight="false" outlineLevel="0" collapsed="false">
      <c r="A89" s="28" t="s">
        <v>316</v>
      </c>
      <c r="B89" s="18" t="n">
        <f aca="false">COUNTA($D$5:$D$83)-COUNTIF($D$5:$D$83,"Won't")</f>
        <v>78</v>
      </c>
    </row>
    <row r="90" customFormat="false" ht="15" hidden="false" customHeight="false" outlineLevel="0" collapsed="false">
      <c r="A90" s="28" t="s">
        <v>317</v>
      </c>
      <c r="B90" s="18" t="n">
        <f aca="false">COUNTIF($F$5:$F$83,"livré")</f>
        <v>71</v>
      </c>
    </row>
    <row r="91" customFormat="false" ht="15" hidden="false" customHeight="false" outlineLevel="0" collapsed="false">
      <c r="A91" s="28" t="s">
        <v>318</v>
      </c>
      <c r="B91" s="18" t="n">
        <f aca="false">COUNTIF($F$5:$F$83,"à écrire")</f>
        <v>0</v>
      </c>
    </row>
    <row r="93" customFormat="false" ht="15" hidden="false" customHeight="false" outlineLevel="0" collapsed="false">
      <c r="A93" s="25" t="s">
        <v>319</v>
      </c>
    </row>
  </sheetData>
  <autoFilter ref="A4:F83"/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D5:D83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68"/>
    <col collapsed="false" customWidth="true" hidden="false" outlineLevel="0" max="4" min="4" style="0" width="16"/>
    <col collapsed="false" customWidth="true" hidden="false" outlineLevel="0" max="5" min="5" style="0" width="28"/>
  </cols>
  <sheetData>
    <row r="1" customFormat="false" ht="25.5" hidden="false" customHeight="true" outlineLevel="0" collapsed="false">
      <c r="A1" s="1" t="s">
        <v>320</v>
      </c>
      <c r="B1" s="1"/>
      <c r="C1" s="1"/>
      <c r="D1" s="1"/>
      <c r="E1" s="1"/>
    </row>
    <row r="2" customFormat="false" ht="18" hidden="false" customHeight="true" outlineLevel="0" collapsed="false">
      <c r="A2" s="2" t="s">
        <v>321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68</v>
      </c>
      <c r="B4" s="3" t="s">
        <v>2</v>
      </c>
      <c r="C4" s="3" t="s">
        <v>322</v>
      </c>
      <c r="D4" s="3" t="s">
        <v>151</v>
      </c>
      <c r="E4" s="3" t="s">
        <v>72</v>
      </c>
    </row>
    <row r="5" customFormat="false" ht="21.75" hidden="false" customHeight="true" outlineLevel="0" collapsed="false">
      <c r="A5" s="29" t="s">
        <v>79</v>
      </c>
      <c r="B5" s="13" t="s">
        <v>323</v>
      </c>
      <c r="C5" s="12" t="s">
        <v>324</v>
      </c>
      <c r="D5" s="30" t="s">
        <v>7</v>
      </c>
      <c r="E5" s="11" t="s">
        <v>152</v>
      </c>
    </row>
    <row r="6" customFormat="false" ht="21.75" hidden="false" customHeight="true" outlineLevel="0" collapsed="false">
      <c r="A6" s="29" t="s">
        <v>79</v>
      </c>
      <c r="B6" s="13" t="s">
        <v>325</v>
      </c>
      <c r="C6" s="12" t="s">
        <v>326</v>
      </c>
      <c r="D6" s="30" t="s">
        <v>7</v>
      </c>
      <c r="E6" s="11" t="s">
        <v>327</v>
      </c>
    </row>
    <row r="7" customFormat="false" ht="21.75" hidden="false" customHeight="true" outlineLevel="0" collapsed="false">
      <c r="A7" s="29" t="s">
        <v>79</v>
      </c>
      <c r="B7" s="13" t="s">
        <v>328</v>
      </c>
      <c r="C7" s="12" t="s">
        <v>329</v>
      </c>
      <c r="D7" s="30" t="s">
        <v>36</v>
      </c>
      <c r="E7" s="11" t="s">
        <v>156</v>
      </c>
    </row>
    <row r="8" customFormat="false" ht="21.75" hidden="false" customHeight="true" outlineLevel="0" collapsed="false">
      <c r="A8" s="29" t="s">
        <v>79</v>
      </c>
      <c r="B8" s="13" t="s">
        <v>330</v>
      </c>
      <c r="C8" s="12" t="s">
        <v>331</v>
      </c>
      <c r="D8" s="30" t="s">
        <v>36</v>
      </c>
      <c r="E8" s="11" t="s">
        <v>158</v>
      </c>
    </row>
    <row r="9" customFormat="false" ht="21.75" hidden="false" customHeight="true" outlineLevel="0" collapsed="false">
      <c r="A9" s="29" t="s">
        <v>79</v>
      </c>
      <c r="B9" s="13" t="s">
        <v>332</v>
      </c>
      <c r="C9" s="12" t="s">
        <v>333</v>
      </c>
      <c r="D9" s="30" t="s">
        <v>36</v>
      </c>
      <c r="E9" s="11" t="s">
        <v>160</v>
      </c>
    </row>
    <row r="10" customFormat="false" ht="21.75" hidden="false" customHeight="true" outlineLevel="0" collapsed="false">
      <c r="A10" s="29" t="s">
        <v>86</v>
      </c>
      <c r="B10" s="13" t="s">
        <v>334</v>
      </c>
      <c r="C10" s="12" t="s">
        <v>335</v>
      </c>
      <c r="D10" s="30" t="s">
        <v>7</v>
      </c>
      <c r="E10" s="11" t="s">
        <v>162</v>
      </c>
    </row>
    <row r="11" customFormat="false" ht="21.75" hidden="false" customHeight="true" outlineLevel="0" collapsed="false">
      <c r="A11" s="29" t="s">
        <v>86</v>
      </c>
      <c r="B11" s="13" t="s">
        <v>336</v>
      </c>
      <c r="C11" s="12" t="s">
        <v>337</v>
      </c>
      <c r="D11" s="30" t="s">
        <v>36</v>
      </c>
      <c r="E11" s="11" t="s">
        <v>162</v>
      </c>
    </row>
    <row r="12" customFormat="false" ht="21.75" hidden="false" customHeight="true" outlineLevel="0" collapsed="false">
      <c r="A12" s="29" t="s">
        <v>86</v>
      </c>
      <c r="B12" s="13" t="s">
        <v>338</v>
      </c>
      <c r="C12" s="12" t="s">
        <v>339</v>
      </c>
      <c r="D12" s="30" t="s">
        <v>36</v>
      </c>
      <c r="E12" s="11" t="s">
        <v>164</v>
      </c>
    </row>
    <row r="13" customFormat="false" ht="21.75" hidden="false" customHeight="true" outlineLevel="0" collapsed="false">
      <c r="A13" s="29" t="s">
        <v>90</v>
      </c>
      <c r="B13" s="13" t="s">
        <v>340</v>
      </c>
      <c r="C13" s="12" t="s">
        <v>341</v>
      </c>
      <c r="D13" s="30" t="s">
        <v>13</v>
      </c>
      <c r="E13" s="11" t="s">
        <v>166</v>
      </c>
    </row>
    <row r="14" customFormat="false" ht="21.75" hidden="false" customHeight="true" outlineLevel="0" collapsed="false">
      <c r="A14" s="29" t="s">
        <v>90</v>
      </c>
      <c r="B14" s="13" t="s">
        <v>342</v>
      </c>
      <c r="C14" s="12" t="s">
        <v>343</v>
      </c>
      <c r="D14" s="30" t="s">
        <v>13</v>
      </c>
      <c r="E14" s="11" t="s">
        <v>168</v>
      </c>
    </row>
    <row r="15" customFormat="false" ht="21.75" hidden="false" customHeight="true" outlineLevel="0" collapsed="false">
      <c r="A15" s="29" t="s">
        <v>90</v>
      </c>
      <c r="B15" s="13" t="s">
        <v>344</v>
      </c>
      <c r="C15" s="12" t="s">
        <v>345</v>
      </c>
      <c r="D15" s="30" t="s">
        <v>13</v>
      </c>
      <c r="E15" s="11" t="s">
        <v>170</v>
      </c>
    </row>
    <row r="16" customFormat="false" ht="21.75" hidden="false" customHeight="true" outlineLevel="0" collapsed="false">
      <c r="A16" s="29" t="s">
        <v>90</v>
      </c>
      <c r="B16" s="13" t="s">
        <v>346</v>
      </c>
      <c r="C16" s="12" t="s">
        <v>347</v>
      </c>
      <c r="D16" s="30" t="s">
        <v>13</v>
      </c>
      <c r="E16" s="11" t="s">
        <v>172</v>
      </c>
    </row>
    <row r="17" customFormat="false" ht="21.75" hidden="false" customHeight="true" outlineLevel="0" collapsed="false">
      <c r="A17" s="29" t="s">
        <v>90</v>
      </c>
      <c r="B17" s="13" t="s">
        <v>348</v>
      </c>
      <c r="C17" s="12" t="s">
        <v>349</v>
      </c>
      <c r="D17" s="30" t="s">
        <v>13</v>
      </c>
      <c r="E17" s="11" t="s">
        <v>174</v>
      </c>
    </row>
    <row r="18" customFormat="false" ht="21.75" hidden="false" customHeight="true" outlineLevel="0" collapsed="false">
      <c r="A18" s="29" t="s">
        <v>90</v>
      </c>
      <c r="B18" s="13" t="s">
        <v>350</v>
      </c>
      <c r="C18" s="12" t="s">
        <v>351</v>
      </c>
      <c r="D18" s="30" t="s">
        <v>13</v>
      </c>
      <c r="E18" s="11" t="s">
        <v>176</v>
      </c>
    </row>
    <row r="19" customFormat="false" ht="21.75" hidden="false" customHeight="true" outlineLevel="0" collapsed="false">
      <c r="A19" s="29" t="s">
        <v>93</v>
      </c>
      <c r="B19" s="13" t="s">
        <v>352</v>
      </c>
      <c r="C19" s="12" t="s">
        <v>353</v>
      </c>
      <c r="D19" s="30" t="s">
        <v>7</v>
      </c>
      <c r="E19" s="11" t="s">
        <v>354</v>
      </c>
    </row>
    <row r="20" customFormat="false" ht="21.75" hidden="false" customHeight="true" outlineLevel="0" collapsed="false">
      <c r="A20" s="29" t="s">
        <v>93</v>
      </c>
      <c r="B20" s="13" t="s">
        <v>355</v>
      </c>
      <c r="C20" s="12" t="s">
        <v>356</v>
      </c>
      <c r="D20" s="30" t="s">
        <v>36</v>
      </c>
      <c r="E20" s="11" t="s">
        <v>180</v>
      </c>
    </row>
    <row r="21" customFormat="false" ht="21.75" hidden="false" customHeight="true" outlineLevel="0" collapsed="false">
      <c r="A21" s="29" t="s">
        <v>93</v>
      </c>
      <c r="B21" s="13" t="s">
        <v>357</v>
      </c>
      <c r="C21" s="12" t="s">
        <v>358</v>
      </c>
      <c r="D21" s="30" t="s">
        <v>36</v>
      </c>
      <c r="E21" s="11" t="s">
        <v>182</v>
      </c>
    </row>
    <row r="22" customFormat="false" ht="21.75" hidden="false" customHeight="true" outlineLevel="0" collapsed="false">
      <c r="A22" s="29" t="s">
        <v>93</v>
      </c>
      <c r="B22" s="13" t="s">
        <v>359</v>
      </c>
      <c r="C22" s="12" t="s">
        <v>360</v>
      </c>
      <c r="D22" s="30" t="s">
        <v>36</v>
      </c>
      <c r="E22" s="11" t="s">
        <v>184</v>
      </c>
    </row>
    <row r="23" customFormat="false" ht="21.75" hidden="false" customHeight="true" outlineLevel="0" collapsed="false">
      <c r="A23" s="29" t="s">
        <v>93</v>
      </c>
      <c r="B23" s="13" t="s">
        <v>361</v>
      </c>
      <c r="C23" s="12" t="s">
        <v>362</v>
      </c>
      <c r="D23" s="30" t="s">
        <v>10</v>
      </c>
      <c r="E23" s="11" t="s">
        <v>186</v>
      </c>
    </row>
    <row r="24" customFormat="false" ht="21.75" hidden="false" customHeight="true" outlineLevel="0" collapsed="false">
      <c r="A24" s="29" t="s">
        <v>95</v>
      </c>
      <c r="B24" s="13" t="s">
        <v>363</v>
      </c>
      <c r="C24" s="12" t="s">
        <v>364</v>
      </c>
      <c r="D24" s="30" t="s">
        <v>7</v>
      </c>
      <c r="E24" s="11" t="s">
        <v>188</v>
      </c>
    </row>
    <row r="25" customFormat="false" ht="21.75" hidden="false" customHeight="true" outlineLevel="0" collapsed="false">
      <c r="A25" s="29" t="s">
        <v>95</v>
      </c>
      <c r="B25" s="13" t="s">
        <v>365</v>
      </c>
      <c r="C25" s="12" t="s">
        <v>366</v>
      </c>
      <c r="D25" s="30" t="s">
        <v>7</v>
      </c>
      <c r="E25" s="11" t="s">
        <v>190</v>
      </c>
    </row>
    <row r="26" customFormat="false" ht="21.75" hidden="false" customHeight="true" outlineLevel="0" collapsed="false">
      <c r="A26" s="29" t="s">
        <v>95</v>
      </c>
      <c r="B26" s="13" t="s">
        <v>367</v>
      </c>
      <c r="C26" s="12" t="s">
        <v>368</v>
      </c>
      <c r="D26" s="30" t="s">
        <v>44</v>
      </c>
      <c r="E26" s="11" t="s">
        <v>192</v>
      </c>
    </row>
    <row r="27" customFormat="false" ht="21.75" hidden="false" customHeight="true" outlineLevel="0" collapsed="false">
      <c r="A27" s="29" t="s">
        <v>95</v>
      </c>
      <c r="B27" s="13" t="s">
        <v>369</v>
      </c>
      <c r="C27" s="12" t="s">
        <v>370</v>
      </c>
      <c r="D27" s="30" t="s">
        <v>36</v>
      </c>
      <c r="E27" s="11" t="s">
        <v>194</v>
      </c>
    </row>
    <row r="28" customFormat="false" ht="21.75" hidden="false" customHeight="true" outlineLevel="0" collapsed="false">
      <c r="A28" s="29" t="s">
        <v>97</v>
      </c>
      <c r="B28" s="13" t="s">
        <v>371</v>
      </c>
      <c r="C28" s="12" t="s">
        <v>372</v>
      </c>
      <c r="D28" s="30" t="s">
        <v>7</v>
      </c>
      <c r="E28" s="11" t="s">
        <v>196</v>
      </c>
    </row>
    <row r="29" customFormat="false" ht="21.75" hidden="false" customHeight="true" outlineLevel="0" collapsed="false">
      <c r="A29" s="29" t="s">
        <v>97</v>
      </c>
      <c r="B29" s="13" t="s">
        <v>373</v>
      </c>
      <c r="C29" s="12" t="s">
        <v>374</v>
      </c>
      <c r="D29" s="30" t="s">
        <v>7</v>
      </c>
      <c r="E29" s="11" t="s">
        <v>198</v>
      </c>
    </row>
    <row r="30" customFormat="false" ht="21.75" hidden="false" customHeight="true" outlineLevel="0" collapsed="false">
      <c r="A30" s="29" t="s">
        <v>97</v>
      </c>
      <c r="B30" s="13" t="s">
        <v>375</v>
      </c>
      <c r="C30" s="12" t="s">
        <v>376</v>
      </c>
      <c r="D30" s="30" t="s">
        <v>7</v>
      </c>
      <c r="E30" s="11" t="s">
        <v>200</v>
      </c>
    </row>
    <row r="31" customFormat="false" ht="21.75" hidden="false" customHeight="true" outlineLevel="0" collapsed="false">
      <c r="A31" s="29" t="s">
        <v>97</v>
      </c>
      <c r="B31" s="13" t="s">
        <v>377</v>
      </c>
      <c r="C31" s="12" t="s">
        <v>378</v>
      </c>
      <c r="D31" s="30" t="s">
        <v>7</v>
      </c>
      <c r="E31" s="11" t="s">
        <v>202</v>
      </c>
    </row>
    <row r="32" customFormat="false" ht="21.75" hidden="false" customHeight="true" outlineLevel="0" collapsed="false">
      <c r="A32" s="29" t="s">
        <v>99</v>
      </c>
      <c r="B32" s="13" t="s">
        <v>379</v>
      </c>
      <c r="C32" s="12" t="s">
        <v>380</v>
      </c>
      <c r="D32" s="30" t="s">
        <v>16</v>
      </c>
      <c r="E32" s="11" t="s">
        <v>204</v>
      </c>
    </row>
    <row r="33" customFormat="false" ht="21.75" hidden="false" customHeight="true" outlineLevel="0" collapsed="false">
      <c r="A33" s="29" t="s">
        <v>99</v>
      </c>
      <c r="B33" s="13" t="s">
        <v>381</v>
      </c>
      <c r="C33" s="12" t="s">
        <v>382</v>
      </c>
      <c r="D33" s="30" t="s">
        <v>36</v>
      </c>
      <c r="E33" s="11" t="s">
        <v>383</v>
      </c>
    </row>
    <row r="34" customFormat="false" ht="21.75" hidden="false" customHeight="true" outlineLevel="0" collapsed="false">
      <c r="A34" s="29" t="s">
        <v>99</v>
      </c>
      <c r="B34" s="13" t="s">
        <v>384</v>
      </c>
      <c r="C34" s="12" t="s">
        <v>385</v>
      </c>
      <c r="D34" s="30" t="s">
        <v>16</v>
      </c>
      <c r="E34" s="11" t="s">
        <v>206</v>
      </c>
    </row>
    <row r="35" customFormat="false" ht="21.75" hidden="false" customHeight="true" outlineLevel="0" collapsed="false">
      <c r="A35" s="29" t="s">
        <v>99</v>
      </c>
      <c r="B35" s="13" t="s">
        <v>386</v>
      </c>
      <c r="C35" s="12" t="s">
        <v>387</v>
      </c>
      <c r="D35" s="30" t="s">
        <v>10</v>
      </c>
      <c r="E35" s="11" t="s">
        <v>208</v>
      </c>
    </row>
    <row r="36" customFormat="false" ht="21.75" hidden="false" customHeight="true" outlineLevel="0" collapsed="false">
      <c r="A36" s="29" t="s">
        <v>99</v>
      </c>
      <c r="B36" s="13" t="s">
        <v>388</v>
      </c>
      <c r="C36" s="12" t="s">
        <v>389</v>
      </c>
      <c r="D36" s="30" t="s">
        <v>16</v>
      </c>
      <c r="E36" s="11" t="s">
        <v>210</v>
      </c>
    </row>
    <row r="37" customFormat="false" ht="21.75" hidden="false" customHeight="true" outlineLevel="0" collapsed="false">
      <c r="A37" s="29" t="s">
        <v>99</v>
      </c>
      <c r="B37" s="13" t="s">
        <v>390</v>
      </c>
      <c r="C37" s="12" t="s">
        <v>391</v>
      </c>
      <c r="D37" s="30" t="s">
        <v>16</v>
      </c>
      <c r="E37" s="11" t="s">
        <v>212</v>
      </c>
    </row>
    <row r="38" customFormat="false" ht="21.75" hidden="false" customHeight="true" outlineLevel="0" collapsed="false">
      <c r="A38" s="29" t="s">
        <v>102</v>
      </c>
      <c r="B38" s="13" t="s">
        <v>392</v>
      </c>
      <c r="C38" s="12" t="s">
        <v>393</v>
      </c>
      <c r="D38" s="30" t="s">
        <v>7</v>
      </c>
      <c r="E38" s="11" t="s">
        <v>214</v>
      </c>
    </row>
    <row r="39" customFormat="false" ht="21.75" hidden="false" customHeight="true" outlineLevel="0" collapsed="false">
      <c r="A39" s="29" t="s">
        <v>102</v>
      </c>
      <c r="B39" s="13" t="s">
        <v>394</v>
      </c>
      <c r="C39" s="12" t="s">
        <v>395</v>
      </c>
      <c r="D39" s="30" t="s">
        <v>36</v>
      </c>
      <c r="E39" s="11" t="s">
        <v>396</v>
      </c>
    </row>
    <row r="40" customFormat="false" ht="21.75" hidden="false" customHeight="true" outlineLevel="0" collapsed="false">
      <c r="A40" s="29" t="s">
        <v>102</v>
      </c>
      <c r="B40" s="13" t="s">
        <v>397</v>
      </c>
      <c r="C40" s="12" t="s">
        <v>398</v>
      </c>
      <c r="D40" s="30" t="s">
        <v>16</v>
      </c>
      <c r="E40" s="11" t="s">
        <v>218</v>
      </c>
    </row>
    <row r="41" customFormat="false" ht="21.75" hidden="false" customHeight="true" outlineLevel="0" collapsed="false">
      <c r="A41" s="29" t="s">
        <v>102</v>
      </c>
      <c r="B41" s="13" t="s">
        <v>399</v>
      </c>
      <c r="C41" s="12" t="s">
        <v>400</v>
      </c>
      <c r="D41" s="30" t="s">
        <v>10</v>
      </c>
      <c r="E41" s="11" t="s">
        <v>220</v>
      </c>
    </row>
    <row r="42" customFormat="false" ht="21.75" hidden="false" customHeight="true" outlineLevel="0" collapsed="false">
      <c r="A42" s="29" t="s">
        <v>104</v>
      </c>
      <c r="B42" s="13" t="s">
        <v>401</v>
      </c>
      <c r="C42" s="12" t="s">
        <v>402</v>
      </c>
      <c r="D42" s="30" t="s">
        <v>13</v>
      </c>
      <c r="E42" s="11" t="s">
        <v>403</v>
      </c>
    </row>
    <row r="43" customFormat="false" ht="21.75" hidden="false" customHeight="true" outlineLevel="0" collapsed="false">
      <c r="A43" s="29" t="s">
        <v>104</v>
      </c>
      <c r="B43" s="13" t="s">
        <v>404</v>
      </c>
      <c r="C43" s="12" t="s">
        <v>405</v>
      </c>
      <c r="D43" s="30" t="s">
        <v>13</v>
      </c>
      <c r="E43" s="11" t="s">
        <v>406</v>
      </c>
    </row>
    <row r="44" customFormat="false" ht="21.75" hidden="false" customHeight="true" outlineLevel="0" collapsed="false">
      <c r="A44" s="29" t="s">
        <v>104</v>
      </c>
      <c r="B44" s="13" t="s">
        <v>407</v>
      </c>
      <c r="C44" s="12" t="s">
        <v>408</v>
      </c>
      <c r="D44" s="30" t="s">
        <v>13</v>
      </c>
      <c r="E44" s="11" t="s">
        <v>226</v>
      </c>
    </row>
    <row r="45" customFormat="false" ht="21.75" hidden="false" customHeight="true" outlineLevel="0" collapsed="false">
      <c r="A45" s="29" t="s">
        <v>104</v>
      </c>
      <c r="B45" s="13" t="s">
        <v>409</v>
      </c>
      <c r="C45" s="12" t="s">
        <v>410</v>
      </c>
      <c r="D45" s="30" t="s">
        <v>22</v>
      </c>
      <c r="E45" s="11" t="s">
        <v>230</v>
      </c>
    </row>
    <row r="46" customFormat="false" ht="21.75" hidden="false" customHeight="true" outlineLevel="0" collapsed="false">
      <c r="A46" s="29" t="s">
        <v>104</v>
      </c>
      <c r="B46" s="13" t="s">
        <v>411</v>
      </c>
      <c r="C46" s="12" t="s">
        <v>412</v>
      </c>
      <c r="D46" s="30" t="s">
        <v>36</v>
      </c>
      <c r="E46" s="11" t="s">
        <v>234</v>
      </c>
    </row>
    <row r="47" customFormat="false" ht="21.75" hidden="false" customHeight="true" outlineLevel="0" collapsed="false">
      <c r="A47" s="29" t="s">
        <v>107</v>
      </c>
      <c r="B47" s="13" t="s">
        <v>413</v>
      </c>
      <c r="C47" s="12" t="s">
        <v>414</v>
      </c>
      <c r="D47" s="30" t="s">
        <v>7</v>
      </c>
      <c r="E47" s="11" t="s">
        <v>415</v>
      </c>
    </row>
    <row r="48" customFormat="false" ht="21.75" hidden="false" customHeight="true" outlineLevel="0" collapsed="false">
      <c r="A48" s="29" t="s">
        <v>107</v>
      </c>
      <c r="B48" s="13" t="s">
        <v>416</v>
      </c>
      <c r="C48" s="12" t="s">
        <v>417</v>
      </c>
      <c r="D48" s="30" t="s">
        <v>36</v>
      </c>
      <c r="E48" s="11" t="s">
        <v>236</v>
      </c>
    </row>
    <row r="49" customFormat="false" ht="21.75" hidden="false" customHeight="true" outlineLevel="0" collapsed="false">
      <c r="A49" s="29" t="s">
        <v>107</v>
      </c>
      <c r="B49" s="13" t="s">
        <v>418</v>
      </c>
      <c r="C49" s="12" t="s">
        <v>419</v>
      </c>
      <c r="D49" s="30" t="s">
        <v>36</v>
      </c>
      <c r="E49" s="11" t="s">
        <v>240</v>
      </c>
    </row>
    <row r="50" customFormat="false" ht="21.75" hidden="false" customHeight="true" outlineLevel="0" collapsed="false">
      <c r="A50" s="29" t="s">
        <v>107</v>
      </c>
      <c r="B50" s="13" t="s">
        <v>420</v>
      </c>
      <c r="C50" s="12" t="s">
        <v>421</v>
      </c>
      <c r="D50" s="30" t="s">
        <v>36</v>
      </c>
      <c r="E50" s="11" t="s">
        <v>240</v>
      </c>
    </row>
    <row r="51" customFormat="false" ht="21.75" hidden="false" customHeight="true" outlineLevel="0" collapsed="false">
      <c r="A51" s="29" t="s">
        <v>107</v>
      </c>
      <c r="B51" s="13" t="s">
        <v>422</v>
      </c>
      <c r="C51" s="12" t="s">
        <v>423</v>
      </c>
      <c r="D51" s="30" t="s">
        <v>13</v>
      </c>
      <c r="E51" s="11" t="s">
        <v>242</v>
      </c>
    </row>
    <row r="52" customFormat="false" ht="21.75" hidden="false" customHeight="true" outlineLevel="0" collapsed="false">
      <c r="A52" s="29" t="s">
        <v>107</v>
      </c>
      <c r="B52" s="13" t="s">
        <v>424</v>
      </c>
      <c r="C52" s="12" t="s">
        <v>425</v>
      </c>
      <c r="D52" s="30" t="s">
        <v>32</v>
      </c>
      <c r="E52" s="11" t="s">
        <v>244</v>
      </c>
    </row>
    <row r="53" customFormat="false" ht="21.75" hidden="false" customHeight="true" outlineLevel="0" collapsed="false">
      <c r="A53" s="29" t="s">
        <v>110</v>
      </c>
      <c r="B53" s="13" t="s">
        <v>426</v>
      </c>
      <c r="C53" s="12" t="s">
        <v>427</v>
      </c>
      <c r="D53" s="30" t="s">
        <v>32</v>
      </c>
      <c r="E53" s="11" t="s">
        <v>246</v>
      </c>
    </row>
    <row r="54" customFormat="false" ht="21.75" hidden="false" customHeight="true" outlineLevel="0" collapsed="false">
      <c r="A54" s="29" t="s">
        <v>110</v>
      </c>
      <c r="B54" s="13" t="s">
        <v>428</v>
      </c>
      <c r="C54" s="12" t="s">
        <v>429</v>
      </c>
      <c r="D54" s="30" t="s">
        <v>27</v>
      </c>
      <c r="E54" s="11" t="s">
        <v>248</v>
      </c>
    </row>
    <row r="55" customFormat="false" ht="21.75" hidden="false" customHeight="true" outlineLevel="0" collapsed="false">
      <c r="A55" s="29" t="s">
        <v>110</v>
      </c>
      <c r="B55" s="13" t="s">
        <v>430</v>
      </c>
      <c r="C55" s="12" t="s">
        <v>431</v>
      </c>
      <c r="D55" s="30" t="s">
        <v>30</v>
      </c>
      <c r="E55" s="11" t="s">
        <v>250</v>
      </c>
    </row>
    <row r="56" customFormat="false" ht="21.75" hidden="false" customHeight="true" outlineLevel="0" collapsed="false">
      <c r="A56" s="29" t="s">
        <v>110</v>
      </c>
      <c r="B56" s="13" t="s">
        <v>432</v>
      </c>
      <c r="C56" s="12" t="s">
        <v>433</v>
      </c>
      <c r="D56" s="30" t="s">
        <v>39</v>
      </c>
      <c r="E56" s="11" t="s">
        <v>434</v>
      </c>
    </row>
    <row r="57" customFormat="false" ht="21.75" hidden="false" customHeight="true" outlineLevel="0" collapsed="false">
      <c r="A57" s="29" t="s">
        <v>113</v>
      </c>
      <c r="B57" s="13" t="s">
        <v>435</v>
      </c>
      <c r="C57" s="12" t="s">
        <v>436</v>
      </c>
      <c r="D57" s="30" t="s">
        <v>7</v>
      </c>
      <c r="E57" s="11" t="s">
        <v>437</v>
      </c>
    </row>
    <row r="58" customFormat="false" ht="21.75" hidden="false" customHeight="true" outlineLevel="0" collapsed="false">
      <c r="A58" s="29" t="s">
        <v>113</v>
      </c>
      <c r="B58" s="13" t="s">
        <v>438</v>
      </c>
      <c r="C58" s="12" t="s">
        <v>439</v>
      </c>
      <c r="D58" s="30" t="s">
        <v>36</v>
      </c>
      <c r="E58" s="11" t="s">
        <v>252</v>
      </c>
    </row>
    <row r="59" customFormat="false" ht="21.75" hidden="false" customHeight="true" outlineLevel="0" collapsed="false">
      <c r="A59" s="29" t="s">
        <v>113</v>
      </c>
      <c r="B59" s="13" t="s">
        <v>440</v>
      </c>
      <c r="C59" s="12" t="s">
        <v>441</v>
      </c>
      <c r="D59" s="30" t="s">
        <v>16</v>
      </c>
      <c r="E59" s="11" t="s">
        <v>258</v>
      </c>
    </row>
    <row r="60" customFormat="false" ht="21.75" hidden="false" customHeight="true" outlineLevel="0" collapsed="false">
      <c r="A60" s="29" t="s">
        <v>113</v>
      </c>
      <c r="B60" s="13" t="s">
        <v>442</v>
      </c>
      <c r="C60" s="12" t="s">
        <v>443</v>
      </c>
      <c r="D60" s="30" t="s">
        <v>7</v>
      </c>
      <c r="E60" s="11" t="s">
        <v>260</v>
      </c>
    </row>
    <row r="61" customFormat="false" ht="21.75" hidden="false" customHeight="true" outlineLevel="0" collapsed="false">
      <c r="A61" s="29" t="s">
        <v>113</v>
      </c>
      <c r="B61" s="13" t="s">
        <v>444</v>
      </c>
      <c r="C61" s="12" t="s">
        <v>445</v>
      </c>
      <c r="D61" s="30" t="s">
        <v>16</v>
      </c>
      <c r="E61" s="11" t="s">
        <v>262</v>
      </c>
    </row>
    <row r="62" customFormat="false" ht="21.75" hidden="false" customHeight="true" outlineLevel="0" collapsed="false">
      <c r="A62" s="29" t="s">
        <v>116</v>
      </c>
      <c r="B62" s="13" t="s">
        <v>446</v>
      </c>
      <c r="C62" s="12" t="s">
        <v>447</v>
      </c>
      <c r="D62" s="30" t="s">
        <v>22</v>
      </c>
      <c r="E62" s="11" t="s">
        <v>448</v>
      </c>
    </row>
    <row r="63" customFormat="false" ht="21.75" hidden="false" customHeight="true" outlineLevel="0" collapsed="false">
      <c r="A63" s="29" t="s">
        <v>116</v>
      </c>
      <c r="B63" s="13" t="s">
        <v>449</v>
      </c>
      <c r="C63" s="12" t="s">
        <v>450</v>
      </c>
      <c r="D63" s="30" t="s">
        <v>22</v>
      </c>
      <c r="E63" s="11" t="s">
        <v>264</v>
      </c>
    </row>
    <row r="64" customFormat="false" ht="21.75" hidden="false" customHeight="true" outlineLevel="0" collapsed="false">
      <c r="A64" s="29" t="s">
        <v>116</v>
      </c>
      <c r="B64" s="13" t="s">
        <v>451</v>
      </c>
      <c r="C64" s="12" t="s">
        <v>452</v>
      </c>
      <c r="D64" s="30" t="s">
        <v>22</v>
      </c>
      <c r="E64" s="11" t="s">
        <v>266</v>
      </c>
    </row>
    <row r="65" customFormat="false" ht="21.75" hidden="false" customHeight="true" outlineLevel="0" collapsed="false">
      <c r="A65" s="29" t="s">
        <v>116</v>
      </c>
      <c r="B65" s="13" t="s">
        <v>453</v>
      </c>
      <c r="C65" s="12" t="s">
        <v>454</v>
      </c>
      <c r="D65" s="30" t="s">
        <v>22</v>
      </c>
      <c r="E65" s="11" t="s">
        <v>268</v>
      </c>
    </row>
    <row r="66" customFormat="false" ht="21.75" hidden="false" customHeight="true" outlineLevel="0" collapsed="false">
      <c r="A66" s="29" t="s">
        <v>116</v>
      </c>
      <c r="B66" s="13" t="s">
        <v>455</v>
      </c>
      <c r="C66" s="12" t="s">
        <v>456</v>
      </c>
      <c r="D66" s="30" t="s">
        <v>22</v>
      </c>
      <c r="E66" s="11" t="s">
        <v>268</v>
      </c>
    </row>
    <row r="67" customFormat="false" ht="21.75" hidden="false" customHeight="true" outlineLevel="0" collapsed="false">
      <c r="A67" s="29" t="s">
        <v>119</v>
      </c>
      <c r="B67" s="13" t="s">
        <v>457</v>
      </c>
      <c r="C67" s="12" t="s">
        <v>458</v>
      </c>
      <c r="D67" s="30" t="s">
        <v>19</v>
      </c>
      <c r="E67" s="11" t="s">
        <v>459</v>
      </c>
    </row>
    <row r="68" customFormat="false" ht="21.75" hidden="false" customHeight="true" outlineLevel="0" collapsed="false">
      <c r="A68" s="29" t="s">
        <v>119</v>
      </c>
      <c r="B68" s="13" t="s">
        <v>460</v>
      </c>
      <c r="C68" s="12" t="s">
        <v>461</v>
      </c>
      <c r="D68" s="30" t="s">
        <v>19</v>
      </c>
      <c r="E68" s="11" t="s">
        <v>462</v>
      </c>
    </row>
    <row r="69" customFormat="false" ht="21.75" hidden="false" customHeight="true" outlineLevel="0" collapsed="false">
      <c r="A69" s="29" t="s">
        <v>119</v>
      </c>
      <c r="B69" s="13" t="s">
        <v>463</v>
      </c>
      <c r="C69" s="12" t="s">
        <v>464</v>
      </c>
      <c r="D69" s="30" t="s">
        <v>19</v>
      </c>
      <c r="E69" s="11" t="s">
        <v>465</v>
      </c>
    </row>
    <row r="70" customFormat="false" ht="21.75" hidden="false" customHeight="true" outlineLevel="0" collapsed="false">
      <c r="A70" s="29" t="s">
        <v>119</v>
      </c>
      <c r="B70" s="13" t="s">
        <v>466</v>
      </c>
      <c r="C70" s="12" t="s">
        <v>467</v>
      </c>
      <c r="D70" s="30" t="s">
        <v>19</v>
      </c>
      <c r="E70" s="11" t="s">
        <v>278</v>
      </c>
    </row>
    <row r="71" customFormat="false" ht="21.75" hidden="false" customHeight="true" outlineLevel="0" collapsed="false">
      <c r="A71" s="29" t="s">
        <v>119</v>
      </c>
      <c r="B71" s="13" t="s">
        <v>468</v>
      </c>
      <c r="C71" s="12" t="s">
        <v>469</v>
      </c>
      <c r="D71" s="30" t="s">
        <v>19</v>
      </c>
      <c r="E71" s="11" t="s">
        <v>286</v>
      </c>
    </row>
    <row r="72" customFormat="false" ht="21.75" hidden="false" customHeight="true" outlineLevel="0" collapsed="false">
      <c r="A72" s="29" t="s">
        <v>119</v>
      </c>
      <c r="B72" s="13" t="s">
        <v>470</v>
      </c>
      <c r="C72" s="12" t="s">
        <v>471</v>
      </c>
      <c r="D72" s="30" t="s">
        <v>36</v>
      </c>
      <c r="E72" s="11" t="s">
        <v>286</v>
      </c>
    </row>
    <row r="73" customFormat="false" ht="21.75" hidden="false" customHeight="true" outlineLevel="0" collapsed="false">
      <c r="A73" s="29" t="s">
        <v>119</v>
      </c>
      <c r="B73" s="13" t="s">
        <v>472</v>
      </c>
      <c r="C73" s="12" t="s">
        <v>473</v>
      </c>
      <c r="D73" s="30" t="s">
        <v>19</v>
      </c>
      <c r="E73" s="11" t="s">
        <v>474</v>
      </c>
    </row>
    <row r="74" customFormat="false" ht="21.75" hidden="false" customHeight="true" outlineLevel="0" collapsed="false">
      <c r="A74" s="29" t="s">
        <v>119</v>
      </c>
      <c r="B74" s="13" t="s">
        <v>475</v>
      </c>
      <c r="C74" s="12" t="s">
        <v>476</v>
      </c>
      <c r="D74" s="30" t="s">
        <v>19</v>
      </c>
      <c r="E74" s="11" t="s">
        <v>284</v>
      </c>
    </row>
    <row r="75" customFormat="false" ht="21.75" hidden="false" customHeight="true" outlineLevel="0" collapsed="false">
      <c r="A75" s="29" t="s">
        <v>123</v>
      </c>
      <c r="B75" s="13" t="s">
        <v>477</v>
      </c>
      <c r="C75" s="12" t="s">
        <v>478</v>
      </c>
      <c r="D75" s="30" t="s">
        <v>7</v>
      </c>
      <c r="E75" s="11" t="s">
        <v>291</v>
      </c>
    </row>
    <row r="76" customFormat="false" ht="21.75" hidden="false" customHeight="true" outlineLevel="0" collapsed="false">
      <c r="A76" s="29" t="s">
        <v>123</v>
      </c>
      <c r="B76" s="13" t="s">
        <v>479</v>
      </c>
      <c r="C76" s="12" t="s">
        <v>480</v>
      </c>
      <c r="D76" s="30" t="s">
        <v>36</v>
      </c>
      <c r="E76" s="11" t="s">
        <v>291</v>
      </c>
    </row>
    <row r="77" customFormat="false" ht="21.75" hidden="false" customHeight="true" outlineLevel="0" collapsed="false">
      <c r="A77" s="29" t="s">
        <v>123</v>
      </c>
      <c r="B77" s="13" t="s">
        <v>481</v>
      </c>
      <c r="C77" s="12" t="s">
        <v>482</v>
      </c>
      <c r="D77" s="30" t="s">
        <v>19</v>
      </c>
      <c r="E77" s="11" t="s">
        <v>293</v>
      </c>
    </row>
    <row r="78" customFormat="false" ht="21.75" hidden="false" customHeight="true" outlineLevel="0" collapsed="false">
      <c r="A78" s="29" t="s">
        <v>123</v>
      </c>
      <c r="B78" s="13" t="s">
        <v>483</v>
      </c>
      <c r="C78" s="12" t="s">
        <v>484</v>
      </c>
      <c r="D78" s="30" t="s">
        <v>19</v>
      </c>
      <c r="E78" s="11" t="s">
        <v>295</v>
      </c>
    </row>
    <row r="79" customFormat="false" ht="21.75" hidden="false" customHeight="true" outlineLevel="0" collapsed="false">
      <c r="A79" s="29" t="s">
        <v>123</v>
      </c>
      <c r="B79" s="13" t="s">
        <v>485</v>
      </c>
      <c r="C79" s="12" t="s">
        <v>486</v>
      </c>
      <c r="D79" s="30" t="s">
        <v>36</v>
      </c>
      <c r="E79" s="11" t="s">
        <v>295</v>
      </c>
    </row>
    <row r="80" customFormat="false" ht="21.75" hidden="false" customHeight="true" outlineLevel="0" collapsed="false">
      <c r="A80" s="31" t="s">
        <v>127</v>
      </c>
      <c r="B80" s="32" t="s">
        <v>487</v>
      </c>
      <c r="C80" s="33" t="s">
        <v>488</v>
      </c>
      <c r="D80" s="30" t="s">
        <v>7</v>
      </c>
      <c r="E80" s="34" t="s">
        <v>489</v>
      </c>
    </row>
    <row r="81" customFormat="false" ht="21.75" hidden="false" customHeight="true" outlineLevel="0" collapsed="false">
      <c r="A81" s="31" t="s">
        <v>127</v>
      </c>
      <c r="B81" s="32" t="s">
        <v>490</v>
      </c>
      <c r="C81" s="33" t="s">
        <v>491</v>
      </c>
      <c r="D81" s="30" t="s">
        <v>60</v>
      </c>
      <c r="E81" s="34" t="s">
        <v>489</v>
      </c>
    </row>
    <row r="83" customFormat="false" ht="15" hidden="false" customHeight="false" outlineLevel="0" collapsed="false">
      <c r="A83" s="25" t="s">
        <v>492</v>
      </c>
    </row>
  </sheetData>
  <autoFilter ref="A4:E81"/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D5:D81" type="list">
      <formula1>"A.1,A.2,A.3,A.4,A.5,A.6,B.1,B.2,B.3,C.1,C.2,D.1,D.2,D.3,D.4,D.5,D.6,D.7,D.8,D.9,D.10,D.11,D.12"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18" min="3" style="0" width="6"/>
    <col collapsed="false" customWidth="true" hidden="false" outlineLevel="0" max="19" min="19" style="0" width="8"/>
    <col collapsed="false" customWidth="true" hidden="false" outlineLevel="0" max="20" min="20" style="0" width="17"/>
  </cols>
  <sheetData>
    <row r="1" customFormat="false" ht="25.5" hidden="false" customHeight="true" outlineLevel="0" collapsed="false">
      <c r="A1" s="1" t="s">
        <v>493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494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1.5" hidden="false" customHeight="true" outlineLevel="0" collapsed="false">
      <c r="A4" s="3" t="s">
        <v>2</v>
      </c>
      <c r="B4" s="3" t="s">
        <v>495</v>
      </c>
      <c r="C4" s="3" t="s">
        <v>79</v>
      </c>
      <c r="D4" s="3" t="s">
        <v>86</v>
      </c>
      <c r="E4" s="3" t="s">
        <v>90</v>
      </c>
      <c r="F4" s="3" t="s">
        <v>93</v>
      </c>
      <c r="G4" s="3" t="s">
        <v>95</v>
      </c>
      <c r="H4" s="3" t="s">
        <v>97</v>
      </c>
      <c r="I4" s="3" t="s">
        <v>99</v>
      </c>
      <c r="J4" s="3" t="s">
        <v>102</v>
      </c>
      <c r="K4" s="3" t="s">
        <v>104</v>
      </c>
      <c r="L4" s="3" t="s">
        <v>107</v>
      </c>
      <c r="M4" s="3" t="s">
        <v>110</v>
      </c>
      <c r="N4" s="3" t="s">
        <v>113</v>
      </c>
      <c r="O4" s="3" t="s">
        <v>116</v>
      </c>
      <c r="P4" s="3" t="s">
        <v>119</v>
      </c>
      <c r="Q4" s="3" t="s">
        <v>123</v>
      </c>
      <c r="R4" s="3" t="s">
        <v>127</v>
      </c>
      <c r="S4" s="3" t="s">
        <v>496</v>
      </c>
      <c r="T4" s="3" t="s">
        <v>77</v>
      </c>
    </row>
    <row r="5" customFormat="false" ht="27.75" hidden="false" customHeight="true" outlineLevel="0" collapsed="false">
      <c r="A5" s="35" t="s">
        <v>7</v>
      </c>
      <c r="B5" s="36" t="s">
        <v>8</v>
      </c>
      <c r="C5" s="37" t="n">
        <f aca="false">COUNTIFS('Objectifs par module'!$A$5:$A$81,C$4,'Objectifs par module'!$D$5:$D$81,$A5)</f>
        <v>2</v>
      </c>
      <c r="D5" s="37" t="n">
        <f aca="false">COUNTIFS('Objectifs par module'!$A$5:$A$81,D$4,'Objectifs par module'!$D$5:$D$81,$A5)</f>
        <v>1</v>
      </c>
      <c r="E5" s="37" t="n">
        <f aca="false">COUNTIFS('Objectifs par module'!$A$5:$A$81,E$4,'Objectifs par module'!$D$5:$D$81,$A5)</f>
        <v>0</v>
      </c>
      <c r="F5" s="37" t="n">
        <f aca="false">COUNTIFS('Objectifs par module'!$A$5:$A$81,F$4,'Objectifs par module'!$D$5:$D$81,$A5)</f>
        <v>1</v>
      </c>
      <c r="G5" s="37" t="n">
        <f aca="false">COUNTIFS('Objectifs par module'!$A$5:$A$81,G$4,'Objectifs par module'!$D$5:$D$81,$A5)</f>
        <v>2</v>
      </c>
      <c r="H5" s="37" t="n">
        <f aca="false">COUNTIFS('Objectifs par module'!$A$5:$A$81,H$4,'Objectifs par module'!$D$5:$D$81,$A5)</f>
        <v>4</v>
      </c>
      <c r="I5" s="37" t="n">
        <f aca="false">COUNTIFS('Objectifs par module'!$A$5:$A$81,I$4,'Objectifs par module'!$D$5:$D$81,$A5)</f>
        <v>0</v>
      </c>
      <c r="J5" s="37" t="n">
        <f aca="false">COUNTIFS('Objectifs par module'!$A$5:$A$81,J$4,'Objectifs par module'!$D$5:$D$81,$A5)</f>
        <v>1</v>
      </c>
      <c r="K5" s="37" t="n">
        <f aca="false">COUNTIFS('Objectifs par module'!$A$5:$A$81,K$4,'Objectifs par module'!$D$5:$D$81,$A5)</f>
        <v>0</v>
      </c>
      <c r="L5" s="37" t="n">
        <f aca="false">COUNTIFS('Objectifs par module'!$A$5:$A$81,L$4,'Objectifs par module'!$D$5:$D$81,$A5)</f>
        <v>1</v>
      </c>
      <c r="M5" s="37" t="n">
        <f aca="false">COUNTIFS('Objectifs par module'!$A$5:$A$81,M$4,'Objectifs par module'!$D$5:$D$81,$A5)</f>
        <v>0</v>
      </c>
      <c r="N5" s="37" t="n">
        <f aca="false">COUNTIFS('Objectifs par module'!$A$5:$A$81,N$4,'Objectifs par module'!$D$5:$D$81,$A5)</f>
        <v>2</v>
      </c>
      <c r="O5" s="37" t="n">
        <f aca="false">COUNTIFS('Objectifs par module'!$A$5:$A$81,O$4,'Objectifs par module'!$D$5:$D$81,$A5)</f>
        <v>0</v>
      </c>
      <c r="P5" s="37" t="n">
        <f aca="false">COUNTIFS('Objectifs par module'!$A$5:$A$81,P$4,'Objectifs par module'!$D$5:$D$81,$A5)</f>
        <v>0</v>
      </c>
      <c r="Q5" s="37" t="n">
        <f aca="false">COUNTIFS('Objectifs par module'!$A$5:$A$81,Q$4,'Objectifs par module'!$D$5:$D$81,$A5)</f>
        <v>1</v>
      </c>
      <c r="R5" s="37" t="n">
        <f aca="false">COUNTIFS('Objectifs par module'!$A$5:$A$81,R$4,'Objectifs par module'!$D$5:$D$81,$A5)</f>
        <v>1</v>
      </c>
      <c r="S5" s="18" t="n">
        <f aca="false">SUM(C5:R5)</f>
        <v>16</v>
      </c>
      <c r="T5" s="37" t="str">
        <f aca="false">IF(S5=0,"NON COUVERT",IF(S5=1,"un seul module","couvert"))</f>
        <v>couvert</v>
      </c>
    </row>
    <row r="6" customFormat="false" ht="27.75" hidden="false" customHeight="true" outlineLevel="0" collapsed="false">
      <c r="A6" s="35" t="s">
        <v>10</v>
      </c>
      <c r="B6" s="36" t="s">
        <v>11</v>
      </c>
      <c r="C6" s="37" t="n">
        <f aca="false">COUNTIFS('Objectifs par module'!$A$5:$A$81,C$4,'Objectifs par module'!$D$5:$D$81,$A6)</f>
        <v>0</v>
      </c>
      <c r="D6" s="37" t="n">
        <f aca="false">COUNTIFS('Objectifs par module'!$A$5:$A$81,D$4,'Objectifs par module'!$D$5:$D$81,$A6)</f>
        <v>0</v>
      </c>
      <c r="E6" s="37" t="n">
        <f aca="false">COUNTIFS('Objectifs par module'!$A$5:$A$81,E$4,'Objectifs par module'!$D$5:$D$81,$A6)</f>
        <v>0</v>
      </c>
      <c r="F6" s="37" t="n">
        <f aca="false">COUNTIFS('Objectifs par module'!$A$5:$A$81,F$4,'Objectifs par module'!$D$5:$D$81,$A6)</f>
        <v>1</v>
      </c>
      <c r="G6" s="37" t="n">
        <f aca="false">COUNTIFS('Objectifs par module'!$A$5:$A$81,G$4,'Objectifs par module'!$D$5:$D$81,$A6)</f>
        <v>0</v>
      </c>
      <c r="H6" s="37" t="n">
        <f aca="false">COUNTIFS('Objectifs par module'!$A$5:$A$81,H$4,'Objectifs par module'!$D$5:$D$81,$A6)</f>
        <v>0</v>
      </c>
      <c r="I6" s="37" t="n">
        <f aca="false">COUNTIFS('Objectifs par module'!$A$5:$A$81,I$4,'Objectifs par module'!$D$5:$D$81,$A6)</f>
        <v>1</v>
      </c>
      <c r="J6" s="37" t="n">
        <f aca="false">COUNTIFS('Objectifs par module'!$A$5:$A$81,J$4,'Objectifs par module'!$D$5:$D$81,$A6)</f>
        <v>1</v>
      </c>
      <c r="K6" s="37" t="n">
        <f aca="false">COUNTIFS('Objectifs par module'!$A$5:$A$81,K$4,'Objectifs par module'!$D$5:$D$81,$A6)</f>
        <v>0</v>
      </c>
      <c r="L6" s="37" t="n">
        <f aca="false">COUNTIFS('Objectifs par module'!$A$5:$A$81,L$4,'Objectifs par module'!$D$5:$D$81,$A6)</f>
        <v>0</v>
      </c>
      <c r="M6" s="37" t="n">
        <f aca="false">COUNTIFS('Objectifs par module'!$A$5:$A$81,M$4,'Objectifs par module'!$D$5:$D$81,$A6)</f>
        <v>0</v>
      </c>
      <c r="N6" s="37" t="n">
        <f aca="false">COUNTIFS('Objectifs par module'!$A$5:$A$81,N$4,'Objectifs par module'!$D$5:$D$81,$A6)</f>
        <v>0</v>
      </c>
      <c r="O6" s="37" t="n">
        <f aca="false">COUNTIFS('Objectifs par module'!$A$5:$A$81,O$4,'Objectifs par module'!$D$5:$D$81,$A6)</f>
        <v>0</v>
      </c>
      <c r="P6" s="37" t="n">
        <f aca="false">COUNTIFS('Objectifs par module'!$A$5:$A$81,P$4,'Objectifs par module'!$D$5:$D$81,$A6)</f>
        <v>0</v>
      </c>
      <c r="Q6" s="37" t="n">
        <f aca="false">COUNTIFS('Objectifs par module'!$A$5:$A$81,Q$4,'Objectifs par module'!$D$5:$D$81,$A6)</f>
        <v>0</v>
      </c>
      <c r="R6" s="37" t="n">
        <f aca="false">COUNTIFS('Objectifs par module'!$A$5:$A$81,R$4,'Objectifs par module'!$D$5:$D$81,$A6)</f>
        <v>0</v>
      </c>
      <c r="S6" s="18" t="n">
        <f aca="false">SUM(C6:R6)</f>
        <v>3</v>
      </c>
      <c r="T6" s="37" t="str">
        <f aca="false">IF(S6=0,"NON COUVERT",IF(S6=1,"un seul module","couvert"))</f>
        <v>couvert</v>
      </c>
    </row>
    <row r="7" customFormat="false" ht="27.75" hidden="false" customHeight="true" outlineLevel="0" collapsed="false">
      <c r="A7" s="35" t="s">
        <v>13</v>
      </c>
      <c r="B7" s="36" t="s">
        <v>14</v>
      </c>
      <c r="C7" s="37" t="n">
        <f aca="false">COUNTIFS('Objectifs par module'!$A$5:$A$81,C$4,'Objectifs par module'!$D$5:$D$81,$A7)</f>
        <v>0</v>
      </c>
      <c r="D7" s="37" t="n">
        <f aca="false">COUNTIFS('Objectifs par module'!$A$5:$A$81,D$4,'Objectifs par module'!$D$5:$D$81,$A7)</f>
        <v>0</v>
      </c>
      <c r="E7" s="37" t="n">
        <f aca="false">COUNTIFS('Objectifs par module'!$A$5:$A$81,E$4,'Objectifs par module'!$D$5:$D$81,$A7)</f>
        <v>6</v>
      </c>
      <c r="F7" s="37" t="n">
        <f aca="false">COUNTIFS('Objectifs par module'!$A$5:$A$81,F$4,'Objectifs par module'!$D$5:$D$81,$A7)</f>
        <v>0</v>
      </c>
      <c r="G7" s="37" t="n">
        <f aca="false">COUNTIFS('Objectifs par module'!$A$5:$A$81,G$4,'Objectifs par module'!$D$5:$D$81,$A7)</f>
        <v>0</v>
      </c>
      <c r="H7" s="37" t="n">
        <f aca="false">COUNTIFS('Objectifs par module'!$A$5:$A$81,H$4,'Objectifs par module'!$D$5:$D$81,$A7)</f>
        <v>0</v>
      </c>
      <c r="I7" s="37" t="n">
        <f aca="false">COUNTIFS('Objectifs par module'!$A$5:$A$81,I$4,'Objectifs par module'!$D$5:$D$81,$A7)</f>
        <v>0</v>
      </c>
      <c r="J7" s="37" t="n">
        <f aca="false">COUNTIFS('Objectifs par module'!$A$5:$A$81,J$4,'Objectifs par module'!$D$5:$D$81,$A7)</f>
        <v>0</v>
      </c>
      <c r="K7" s="37" t="n">
        <f aca="false">COUNTIFS('Objectifs par module'!$A$5:$A$81,K$4,'Objectifs par module'!$D$5:$D$81,$A7)</f>
        <v>3</v>
      </c>
      <c r="L7" s="37" t="n">
        <f aca="false">COUNTIFS('Objectifs par module'!$A$5:$A$81,L$4,'Objectifs par module'!$D$5:$D$81,$A7)</f>
        <v>1</v>
      </c>
      <c r="M7" s="37" t="n">
        <f aca="false">COUNTIFS('Objectifs par module'!$A$5:$A$81,M$4,'Objectifs par module'!$D$5:$D$81,$A7)</f>
        <v>0</v>
      </c>
      <c r="N7" s="37" t="n">
        <f aca="false">COUNTIFS('Objectifs par module'!$A$5:$A$81,N$4,'Objectifs par module'!$D$5:$D$81,$A7)</f>
        <v>0</v>
      </c>
      <c r="O7" s="37" t="n">
        <f aca="false">COUNTIFS('Objectifs par module'!$A$5:$A$81,O$4,'Objectifs par module'!$D$5:$D$81,$A7)</f>
        <v>0</v>
      </c>
      <c r="P7" s="37" t="n">
        <f aca="false">COUNTIFS('Objectifs par module'!$A$5:$A$81,P$4,'Objectifs par module'!$D$5:$D$81,$A7)</f>
        <v>0</v>
      </c>
      <c r="Q7" s="37" t="n">
        <f aca="false">COUNTIFS('Objectifs par module'!$A$5:$A$81,Q$4,'Objectifs par module'!$D$5:$D$81,$A7)</f>
        <v>0</v>
      </c>
      <c r="R7" s="37" t="n">
        <f aca="false">COUNTIFS('Objectifs par module'!$A$5:$A$81,R$4,'Objectifs par module'!$D$5:$D$81,$A7)</f>
        <v>0</v>
      </c>
      <c r="S7" s="18" t="n">
        <f aca="false">SUM(C7:R7)</f>
        <v>10</v>
      </c>
      <c r="T7" s="37" t="str">
        <f aca="false">IF(S7=0,"NON COUVERT",IF(S7=1,"un seul module","couvert"))</f>
        <v>couvert</v>
      </c>
    </row>
    <row r="8" customFormat="false" ht="27.75" hidden="false" customHeight="true" outlineLevel="0" collapsed="false">
      <c r="A8" s="35" t="s">
        <v>16</v>
      </c>
      <c r="B8" s="36" t="s">
        <v>17</v>
      </c>
      <c r="C8" s="37" t="n">
        <f aca="false">COUNTIFS('Objectifs par module'!$A$5:$A$81,C$4,'Objectifs par module'!$D$5:$D$81,$A8)</f>
        <v>0</v>
      </c>
      <c r="D8" s="37" t="n">
        <f aca="false">COUNTIFS('Objectifs par module'!$A$5:$A$81,D$4,'Objectifs par module'!$D$5:$D$81,$A8)</f>
        <v>0</v>
      </c>
      <c r="E8" s="37" t="n">
        <f aca="false">COUNTIFS('Objectifs par module'!$A$5:$A$81,E$4,'Objectifs par module'!$D$5:$D$81,$A8)</f>
        <v>0</v>
      </c>
      <c r="F8" s="37" t="n">
        <f aca="false">COUNTIFS('Objectifs par module'!$A$5:$A$81,F$4,'Objectifs par module'!$D$5:$D$81,$A8)</f>
        <v>0</v>
      </c>
      <c r="G8" s="37" t="n">
        <f aca="false">COUNTIFS('Objectifs par module'!$A$5:$A$81,G$4,'Objectifs par module'!$D$5:$D$81,$A8)</f>
        <v>0</v>
      </c>
      <c r="H8" s="37" t="n">
        <f aca="false">COUNTIFS('Objectifs par module'!$A$5:$A$81,H$4,'Objectifs par module'!$D$5:$D$81,$A8)</f>
        <v>0</v>
      </c>
      <c r="I8" s="37" t="n">
        <f aca="false">COUNTIFS('Objectifs par module'!$A$5:$A$81,I$4,'Objectifs par module'!$D$5:$D$81,$A8)</f>
        <v>4</v>
      </c>
      <c r="J8" s="37" t="n">
        <f aca="false">COUNTIFS('Objectifs par module'!$A$5:$A$81,J$4,'Objectifs par module'!$D$5:$D$81,$A8)</f>
        <v>1</v>
      </c>
      <c r="K8" s="37" t="n">
        <f aca="false">COUNTIFS('Objectifs par module'!$A$5:$A$81,K$4,'Objectifs par module'!$D$5:$D$81,$A8)</f>
        <v>0</v>
      </c>
      <c r="L8" s="37" t="n">
        <f aca="false">COUNTIFS('Objectifs par module'!$A$5:$A$81,L$4,'Objectifs par module'!$D$5:$D$81,$A8)</f>
        <v>0</v>
      </c>
      <c r="M8" s="37" t="n">
        <f aca="false">COUNTIFS('Objectifs par module'!$A$5:$A$81,M$4,'Objectifs par module'!$D$5:$D$81,$A8)</f>
        <v>0</v>
      </c>
      <c r="N8" s="37" t="n">
        <f aca="false">COUNTIFS('Objectifs par module'!$A$5:$A$81,N$4,'Objectifs par module'!$D$5:$D$81,$A8)</f>
        <v>2</v>
      </c>
      <c r="O8" s="37" t="n">
        <f aca="false">COUNTIFS('Objectifs par module'!$A$5:$A$81,O$4,'Objectifs par module'!$D$5:$D$81,$A8)</f>
        <v>0</v>
      </c>
      <c r="P8" s="37" t="n">
        <f aca="false">COUNTIFS('Objectifs par module'!$A$5:$A$81,P$4,'Objectifs par module'!$D$5:$D$81,$A8)</f>
        <v>0</v>
      </c>
      <c r="Q8" s="37" t="n">
        <f aca="false">COUNTIFS('Objectifs par module'!$A$5:$A$81,Q$4,'Objectifs par module'!$D$5:$D$81,$A8)</f>
        <v>0</v>
      </c>
      <c r="R8" s="37" t="n">
        <f aca="false">COUNTIFS('Objectifs par module'!$A$5:$A$81,R$4,'Objectifs par module'!$D$5:$D$81,$A8)</f>
        <v>0</v>
      </c>
      <c r="S8" s="18" t="n">
        <f aca="false">SUM(C8:R8)</f>
        <v>7</v>
      </c>
      <c r="T8" s="37" t="str">
        <f aca="false">IF(S8=0,"NON COUVERT",IF(S8=1,"un seul module","couvert"))</f>
        <v>couvert</v>
      </c>
    </row>
    <row r="9" customFormat="false" ht="27.75" hidden="false" customHeight="true" outlineLevel="0" collapsed="false">
      <c r="A9" s="35" t="s">
        <v>19</v>
      </c>
      <c r="B9" s="36" t="s">
        <v>20</v>
      </c>
      <c r="C9" s="37" t="n">
        <f aca="false">COUNTIFS('Objectifs par module'!$A$5:$A$81,C$4,'Objectifs par module'!$D$5:$D$81,$A9)</f>
        <v>0</v>
      </c>
      <c r="D9" s="37" t="n">
        <f aca="false">COUNTIFS('Objectifs par module'!$A$5:$A$81,D$4,'Objectifs par module'!$D$5:$D$81,$A9)</f>
        <v>0</v>
      </c>
      <c r="E9" s="37" t="n">
        <f aca="false">COUNTIFS('Objectifs par module'!$A$5:$A$81,E$4,'Objectifs par module'!$D$5:$D$81,$A9)</f>
        <v>0</v>
      </c>
      <c r="F9" s="37" t="n">
        <f aca="false">COUNTIFS('Objectifs par module'!$A$5:$A$81,F$4,'Objectifs par module'!$D$5:$D$81,$A9)</f>
        <v>0</v>
      </c>
      <c r="G9" s="37" t="n">
        <f aca="false">COUNTIFS('Objectifs par module'!$A$5:$A$81,G$4,'Objectifs par module'!$D$5:$D$81,$A9)</f>
        <v>0</v>
      </c>
      <c r="H9" s="37" t="n">
        <f aca="false">COUNTIFS('Objectifs par module'!$A$5:$A$81,H$4,'Objectifs par module'!$D$5:$D$81,$A9)</f>
        <v>0</v>
      </c>
      <c r="I9" s="37" t="n">
        <f aca="false">COUNTIFS('Objectifs par module'!$A$5:$A$81,I$4,'Objectifs par module'!$D$5:$D$81,$A9)</f>
        <v>0</v>
      </c>
      <c r="J9" s="37" t="n">
        <f aca="false">COUNTIFS('Objectifs par module'!$A$5:$A$81,J$4,'Objectifs par module'!$D$5:$D$81,$A9)</f>
        <v>0</v>
      </c>
      <c r="K9" s="37" t="n">
        <f aca="false">COUNTIFS('Objectifs par module'!$A$5:$A$81,K$4,'Objectifs par module'!$D$5:$D$81,$A9)</f>
        <v>0</v>
      </c>
      <c r="L9" s="37" t="n">
        <f aca="false">COUNTIFS('Objectifs par module'!$A$5:$A$81,L$4,'Objectifs par module'!$D$5:$D$81,$A9)</f>
        <v>0</v>
      </c>
      <c r="M9" s="37" t="n">
        <f aca="false">COUNTIFS('Objectifs par module'!$A$5:$A$81,M$4,'Objectifs par module'!$D$5:$D$81,$A9)</f>
        <v>0</v>
      </c>
      <c r="N9" s="37" t="n">
        <f aca="false">COUNTIFS('Objectifs par module'!$A$5:$A$81,N$4,'Objectifs par module'!$D$5:$D$81,$A9)</f>
        <v>0</v>
      </c>
      <c r="O9" s="37" t="n">
        <f aca="false">COUNTIFS('Objectifs par module'!$A$5:$A$81,O$4,'Objectifs par module'!$D$5:$D$81,$A9)</f>
        <v>0</v>
      </c>
      <c r="P9" s="37" t="n">
        <f aca="false">COUNTIFS('Objectifs par module'!$A$5:$A$81,P$4,'Objectifs par module'!$D$5:$D$81,$A9)</f>
        <v>7</v>
      </c>
      <c r="Q9" s="37" t="n">
        <f aca="false">COUNTIFS('Objectifs par module'!$A$5:$A$81,Q$4,'Objectifs par module'!$D$5:$D$81,$A9)</f>
        <v>2</v>
      </c>
      <c r="R9" s="37" t="n">
        <f aca="false">COUNTIFS('Objectifs par module'!$A$5:$A$81,R$4,'Objectifs par module'!$D$5:$D$81,$A9)</f>
        <v>0</v>
      </c>
      <c r="S9" s="18" t="n">
        <f aca="false">SUM(C9:R9)</f>
        <v>9</v>
      </c>
      <c r="T9" s="37" t="str">
        <f aca="false">IF(S9=0,"NON COUVERT",IF(S9=1,"un seul module","couvert"))</f>
        <v>couvert</v>
      </c>
    </row>
    <row r="10" customFormat="false" ht="27.75" hidden="false" customHeight="true" outlineLevel="0" collapsed="false">
      <c r="A10" s="35" t="s">
        <v>22</v>
      </c>
      <c r="B10" s="36" t="s">
        <v>23</v>
      </c>
      <c r="C10" s="37" t="n">
        <f aca="false">COUNTIFS('Objectifs par module'!$A$5:$A$81,C$4,'Objectifs par module'!$D$5:$D$81,$A10)</f>
        <v>0</v>
      </c>
      <c r="D10" s="37" t="n">
        <f aca="false">COUNTIFS('Objectifs par module'!$A$5:$A$81,D$4,'Objectifs par module'!$D$5:$D$81,$A10)</f>
        <v>0</v>
      </c>
      <c r="E10" s="37" t="n">
        <f aca="false">COUNTIFS('Objectifs par module'!$A$5:$A$81,E$4,'Objectifs par module'!$D$5:$D$81,$A10)</f>
        <v>0</v>
      </c>
      <c r="F10" s="37" t="n">
        <f aca="false">COUNTIFS('Objectifs par module'!$A$5:$A$81,F$4,'Objectifs par module'!$D$5:$D$81,$A10)</f>
        <v>0</v>
      </c>
      <c r="G10" s="37" t="n">
        <f aca="false">COUNTIFS('Objectifs par module'!$A$5:$A$81,G$4,'Objectifs par module'!$D$5:$D$81,$A10)</f>
        <v>0</v>
      </c>
      <c r="H10" s="37" t="n">
        <f aca="false">COUNTIFS('Objectifs par module'!$A$5:$A$81,H$4,'Objectifs par module'!$D$5:$D$81,$A10)</f>
        <v>0</v>
      </c>
      <c r="I10" s="37" t="n">
        <f aca="false">COUNTIFS('Objectifs par module'!$A$5:$A$81,I$4,'Objectifs par module'!$D$5:$D$81,$A10)</f>
        <v>0</v>
      </c>
      <c r="J10" s="37" t="n">
        <f aca="false">COUNTIFS('Objectifs par module'!$A$5:$A$81,J$4,'Objectifs par module'!$D$5:$D$81,$A10)</f>
        <v>0</v>
      </c>
      <c r="K10" s="37" t="n">
        <f aca="false">COUNTIFS('Objectifs par module'!$A$5:$A$81,K$4,'Objectifs par module'!$D$5:$D$81,$A10)</f>
        <v>1</v>
      </c>
      <c r="L10" s="37" t="n">
        <f aca="false">COUNTIFS('Objectifs par module'!$A$5:$A$81,L$4,'Objectifs par module'!$D$5:$D$81,$A10)</f>
        <v>0</v>
      </c>
      <c r="M10" s="37" t="n">
        <f aca="false">COUNTIFS('Objectifs par module'!$A$5:$A$81,M$4,'Objectifs par module'!$D$5:$D$81,$A10)</f>
        <v>0</v>
      </c>
      <c r="N10" s="37" t="n">
        <f aca="false">COUNTIFS('Objectifs par module'!$A$5:$A$81,N$4,'Objectifs par module'!$D$5:$D$81,$A10)</f>
        <v>0</v>
      </c>
      <c r="O10" s="37" t="n">
        <f aca="false">COUNTIFS('Objectifs par module'!$A$5:$A$81,O$4,'Objectifs par module'!$D$5:$D$81,$A10)</f>
        <v>5</v>
      </c>
      <c r="P10" s="37" t="n">
        <f aca="false">COUNTIFS('Objectifs par module'!$A$5:$A$81,P$4,'Objectifs par module'!$D$5:$D$81,$A10)</f>
        <v>0</v>
      </c>
      <c r="Q10" s="37" t="n">
        <f aca="false">COUNTIFS('Objectifs par module'!$A$5:$A$81,Q$4,'Objectifs par module'!$D$5:$D$81,$A10)</f>
        <v>0</v>
      </c>
      <c r="R10" s="37" t="n">
        <f aca="false">COUNTIFS('Objectifs par module'!$A$5:$A$81,R$4,'Objectifs par module'!$D$5:$D$81,$A10)</f>
        <v>0</v>
      </c>
      <c r="S10" s="18" t="n">
        <f aca="false">SUM(C10:R10)</f>
        <v>6</v>
      </c>
      <c r="T10" s="37" t="str">
        <f aca="false">IF(S10=0,"NON COUVERT",IF(S10=1,"un seul module","couvert"))</f>
        <v>couvert</v>
      </c>
    </row>
    <row r="11" customFormat="false" ht="27.75" hidden="false" customHeight="true" outlineLevel="0" collapsed="false">
      <c r="A11" s="35" t="s">
        <v>27</v>
      </c>
      <c r="B11" s="36" t="s">
        <v>28</v>
      </c>
      <c r="C11" s="37" t="n">
        <f aca="false">COUNTIFS('Objectifs par module'!$A$5:$A$81,C$4,'Objectifs par module'!$D$5:$D$81,$A11)</f>
        <v>0</v>
      </c>
      <c r="D11" s="37" t="n">
        <f aca="false">COUNTIFS('Objectifs par module'!$A$5:$A$81,D$4,'Objectifs par module'!$D$5:$D$81,$A11)</f>
        <v>0</v>
      </c>
      <c r="E11" s="37" t="n">
        <f aca="false">COUNTIFS('Objectifs par module'!$A$5:$A$81,E$4,'Objectifs par module'!$D$5:$D$81,$A11)</f>
        <v>0</v>
      </c>
      <c r="F11" s="37" t="n">
        <f aca="false">COUNTIFS('Objectifs par module'!$A$5:$A$81,F$4,'Objectifs par module'!$D$5:$D$81,$A11)</f>
        <v>0</v>
      </c>
      <c r="G11" s="37" t="n">
        <f aca="false">COUNTIFS('Objectifs par module'!$A$5:$A$81,G$4,'Objectifs par module'!$D$5:$D$81,$A11)</f>
        <v>0</v>
      </c>
      <c r="H11" s="37" t="n">
        <f aca="false">COUNTIFS('Objectifs par module'!$A$5:$A$81,H$4,'Objectifs par module'!$D$5:$D$81,$A11)</f>
        <v>0</v>
      </c>
      <c r="I11" s="37" t="n">
        <f aca="false">COUNTIFS('Objectifs par module'!$A$5:$A$81,I$4,'Objectifs par module'!$D$5:$D$81,$A11)</f>
        <v>0</v>
      </c>
      <c r="J11" s="37" t="n">
        <f aca="false">COUNTIFS('Objectifs par module'!$A$5:$A$81,J$4,'Objectifs par module'!$D$5:$D$81,$A11)</f>
        <v>0</v>
      </c>
      <c r="K11" s="37" t="n">
        <f aca="false">COUNTIFS('Objectifs par module'!$A$5:$A$81,K$4,'Objectifs par module'!$D$5:$D$81,$A11)</f>
        <v>0</v>
      </c>
      <c r="L11" s="37" t="n">
        <f aca="false">COUNTIFS('Objectifs par module'!$A$5:$A$81,L$4,'Objectifs par module'!$D$5:$D$81,$A11)</f>
        <v>0</v>
      </c>
      <c r="M11" s="37" t="n">
        <f aca="false">COUNTIFS('Objectifs par module'!$A$5:$A$81,M$4,'Objectifs par module'!$D$5:$D$81,$A11)</f>
        <v>1</v>
      </c>
      <c r="N11" s="37" t="n">
        <f aca="false">COUNTIFS('Objectifs par module'!$A$5:$A$81,N$4,'Objectifs par module'!$D$5:$D$81,$A11)</f>
        <v>0</v>
      </c>
      <c r="O11" s="37" t="n">
        <f aca="false">COUNTIFS('Objectifs par module'!$A$5:$A$81,O$4,'Objectifs par module'!$D$5:$D$81,$A11)</f>
        <v>0</v>
      </c>
      <c r="P11" s="37" t="n">
        <f aca="false">COUNTIFS('Objectifs par module'!$A$5:$A$81,P$4,'Objectifs par module'!$D$5:$D$81,$A11)</f>
        <v>0</v>
      </c>
      <c r="Q11" s="37" t="n">
        <f aca="false">COUNTIFS('Objectifs par module'!$A$5:$A$81,Q$4,'Objectifs par module'!$D$5:$D$81,$A11)</f>
        <v>0</v>
      </c>
      <c r="R11" s="37" t="n">
        <f aca="false">COUNTIFS('Objectifs par module'!$A$5:$A$81,R$4,'Objectifs par module'!$D$5:$D$81,$A11)</f>
        <v>0</v>
      </c>
      <c r="S11" s="18" t="n">
        <f aca="false">SUM(C11:R11)</f>
        <v>1</v>
      </c>
      <c r="T11" s="37" t="str">
        <f aca="false">IF(S11=0,"NON COUVERT",IF(S11=1,"un seul module","couvert"))</f>
        <v>un seul module</v>
      </c>
    </row>
    <row r="12" customFormat="false" ht="27.75" hidden="false" customHeight="true" outlineLevel="0" collapsed="false">
      <c r="A12" s="35" t="s">
        <v>30</v>
      </c>
      <c r="B12" s="36" t="s">
        <v>31</v>
      </c>
      <c r="C12" s="37" t="n">
        <f aca="false">COUNTIFS('Objectifs par module'!$A$5:$A$81,C$4,'Objectifs par module'!$D$5:$D$81,$A12)</f>
        <v>0</v>
      </c>
      <c r="D12" s="37" t="n">
        <f aca="false">COUNTIFS('Objectifs par module'!$A$5:$A$81,D$4,'Objectifs par module'!$D$5:$D$81,$A12)</f>
        <v>0</v>
      </c>
      <c r="E12" s="37" t="n">
        <f aca="false">COUNTIFS('Objectifs par module'!$A$5:$A$81,E$4,'Objectifs par module'!$D$5:$D$81,$A12)</f>
        <v>0</v>
      </c>
      <c r="F12" s="37" t="n">
        <f aca="false">COUNTIFS('Objectifs par module'!$A$5:$A$81,F$4,'Objectifs par module'!$D$5:$D$81,$A12)</f>
        <v>0</v>
      </c>
      <c r="G12" s="37" t="n">
        <f aca="false">COUNTIFS('Objectifs par module'!$A$5:$A$81,G$4,'Objectifs par module'!$D$5:$D$81,$A12)</f>
        <v>0</v>
      </c>
      <c r="H12" s="37" t="n">
        <f aca="false">COUNTIFS('Objectifs par module'!$A$5:$A$81,H$4,'Objectifs par module'!$D$5:$D$81,$A12)</f>
        <v>0</v>
      </c>
      <c r="I12" s="37" t="n">
        <f aca="false">COUNTIFS('Objectifs par module'!$A$5:$A$81,I$4,'Objectifs par module'!$D$5:$D$81,$A12)</f>
        <v>0</v>
      </c>
      <c r="J12" s="37" t="n">
        <f aca="false">COUNTIFS('Objectifs par module'!$A$5:$A$81,J$4,'Objectifs par module'!$D$5:$D$81,$A12)</f>
        <v>0</v>
      </c>
      <c r="K12" s="37" t="n">
        <f aca="false">COUNTIFS('Objectifs par module'!$A$5:$A$81,K$4,'Objectifs par module'!$D$5:$D$81,$A12)</f>
        <v>0</v>
      </c>
      <c r="L12" s="37" t="n">
        <f aca="false">COUNTIFS('Objectifs par module'!$A$5:$A$81,L$4,'Objectifs par module'!$D$5:$D$81,$A12)</f>
        <v>0</v>
      </c>
      <c r="M12" s="37" t="n">
        <f aca="false">COUNTIFS('Objectifs par module'!$A$5:$A$81,M$4,'Objectifs par module'!$D$5:$D$81,$A12)</f>
        <v>1</v>
      </c>
      <c r="N12" s="37" t="n">
        <f aca="false">COUNTIFS('Objectifs par module'!$A$5:$A$81,N$4,'Objectifs par module'!$D$5:$D$81,$A12)</f>
        <v>0</v>
      </c>
      <c r="O12" s="37" t="n">
        <f aca="false">COUNTIFS('Objectifs par module'!$A$5:$A$81,O$4,'Objectifs par module'!$D$5:$D$81,$A12)</f>
        <v>0</v>
      </c>
      <c r="P12" s="37" t="n">
        <f aca="false">COUNTIFS('Objectifs par module'!$A$5:$A$81,P$4,'Objectifs par module'!$D$5:$D$81,$A12)</f>
        <v>0</v>
      </c>
      <c r="Q12" s="37" t="n">
        <f aca="false">COUNTIFS('Objectifs par module'!$A$5:$A$81,Q$4,'Objectifs par module'!$D$5:$D$81,$A12)</f>
        <v>0</v>
      </c>
      <c r="R12" s="37" t="n">
        <f aca="false">COUNTIFS('Objectifs par module'!$A$5:$A$81,R$4,'Objectifs par module'!$D$5:$D$81,$A12)</f>
        <v>0</v>
      </c>
      <c r="S12" s="18" t="n">
        <f aca="false">SUM(C12:R12)</f>
        <v>1</v>
      </c>
      <c r="T12" s="37" t="str">
        <f aca="false">IF(S12=0,"NON COUVERT",IF(S12=1,"un seul module","couvert"))</f>
        <v>un seul module</v>
      </c>
    </row>
    <row r="13" customFormat="false" ht="27.75" hidden="false" customHeight="true" outlineLevel="0" collapsed="false">
      <c r="A13" s="35" t="s">
        <v>32</v>
      </c>
      <c r="B13" s="36" t="s">
        <v>33</v>
      </c>
      <c r="C13" s="37" t="n">
        <f aca="false">COUNTIFS('Objectifs par module'!$A$5:$A$81,C$4,'Objectifs par module'!$D$5:$D$81,$A13)</f>
        <v>0</v>
      </c>
      <c r="D13" s="37" t="n">
        <f aca="false">COUNTIFS('Objectifs par module'!$A$5:$A$81,D$4,'Objectifs par module'!$D$5:$D$81,$A13)</f>
        <v>0</v>
      </c>
      <c r="E13" s="37" t="n">
        <f aca="false">COUNTIFS('Objectifs par module'!$A$5:$A$81,E$4,'Objectifs par module'!$D$5:$D$81,$A13)</f>
        <v>0</v>
      </c>
      <c r="F13" s="37" t="n">
        <f aca="false">COUNTIFS('Objectifs par module'!$A$5:$A$81,F$4,'Objectifs par module'!$D$5:$D$81,$A13)</f>
        <v>0</v>
      </c>
      <c r="G13" s="37" t="n">
        <f aca="false">COUNTIFS('Objectifs par module'!$A$5:$A$81,G$4,'Objectifs par module'!$D$5:$D$81,$A13)</f>
        <v>0</v>
      </c>
      <c r="H13" s="37" t="n">
        <f aca="false">COUNTIFS('Objectifs par module'!$A$5:$A$81,H$4,'Objectifs par module'!$D$5:$D$81,$A13)</f>
        <v>0</v>
      </c>
      <c r="I13" s="37" t="n">
        <f aca="false">COUNTIFS('Objectifs par module'!$A$5:$A$81,I$4,'Objectifs par module'!$D$5:$D$81,$A13)</f>
        <v>0</v>
      </c>
      <c r="J13" s="37" t="n">
        <f aca="false">COUNTIFS('Objectifs par module'!$A$5:$A$81,J$4,'Objectifs par module'!$D$5:$D$81,$A13)</f>
        <v>0</v>
      </c>
      <c r="K13" s="37" t="n">
        <f aca="false">COUNTIFS('Objectifs par module'!$A$5:$A$81,K$4,'Objectifs par module'!$D$5:$D$81,$A13)</f>
        <v>0</v>
      </c>
      <c r="L13" s="37" t="n">
        <f aca="false">COUNTIFS('Objectifs par module'!$A$5:$A$81,L$4,'Objectifs par module'!$D$5:$D$81,$A13)</f>
        <v>1</v>
      </c>
      <c r="M13" s="37" t="n">
        <f aca="false">COUNTIFS('Objectifs par module'!$A$5:$A$81,M$4,'Objectifs par module'!$D$5:$D$81,$A13)</f>
        <v>1</v>
      </c>
      <c r="N13" s="37" t="n">
        <f aca="false">COUNTIFS('Objectifs par module'!$A$5:$A$81,N$4,'Objectifs par module'!$D$5:$D$81,$A13)</f>
        <v>0</v>
      </c>
      <c r="O13" s="37" t="n">
        <f aca="false">COUNTIFS('Objectifs par module'!$A$5:$A$81,O$4,'Objectifs par module'!$D$5:$D$81,$A13)</f>
        <v>0</v>
      </c>
      <c r="P13" s="37" t="n">
        <f aca="false">COUNTIFS('Objectifs par module'!$A$5:$A$81,P$4,'Objectifs par module'!$D$5:$D$81,$A13)</f>
        <v>0</v>
      </c>
      <c r="Q13" s="37" t="n">
        <f aca="false">COUNTIFS('Objectifs par module'!$A$5:$A$81,Q$4,'Objectifs par module'!$D$5:$D$81,$A13)</f>
        <v>0</v>
      </c>
      <c r="R13" s="37" t="n">
        <f aca="false">COUNTIFS('Objectifs par module'!$A$5:$A$81,R$4,'Objectifs par module'!$D$5:$D$81,$A13)</f>
        <v>0</v>
      </c>
      <c r="S13" s="18" t="n">
        <f aca="false">SUM(C13:R13)</f>
        <v>2</v>
      </c>
      <c r="T13" s="37" t="str">
        <f aca="false">IF(S13=0,"NON COUVERT",IF(S13=1,"un seul module","couvert"))</f>
        <v>couvert</v>
      </c>
    </row>
    <row r="14" customFormat="false" ht="27.75" hidden="false" customHeight="true" outlineLevel="0" collapsed="false">
      <c r="A14" s="35" t="s">
        <v>36</v>
      </c>
      <c r="B14" s="36" t="s">
        <v>37</v>
      </c>
      <c r="C14" s="37" t="n">
        <f aca="false">COUNTIFS('Objectifs par module'!$A$5:$A$81,C$4,'Objectifs par module'!$D$5:$D$81,$A14)</f>
        <v>3</v>
      </c>
      <c r="D14" s="37" t="n">
        <f aca="false">COUNTIFS('Objectifs par module'!$A$5:$A$81,D$4,'Objectifs par module'!$D$5:$D$81,$A14)</f>
        <v>2</v>
      </c>
      <c r="E14" s="37" t="n">
        <f aca="false">COUNTIFS('Objectifs par module'!$A$5:$A$81,E$4,'Objectifs par module'!$D$5:$D$81,$A14)</f>
        <v>0</v>
      </c>
      <c r="F14" s="37" t="n">
        <f aca="false">COUNTIFS('Objectifs par module'!$A$5:$A$81,F$4,'Objectifs par module'!$D$5:$D$81,$A14)</f>
        <v>3</v>
      </c>
      <c r="G14" s="37" t="n">
        <f aca="false">COUNTIFS('Objectifs par module'!$A$5:$A$81,G$4,'Objectifs par module'!$D$5:$D$81,$A14)</f>
        <v>1</v>
      </c>
      <c r="H14" s="37" t="n">
        <f aca="false">COUNTIFS('Objectifs par module'!$A$5:$A$81,H$4,'Objectifs par module'!$D$5:$D$81,$A14)</f>
        <v>0</v>
      </c>
      <c r="I14" s="37" t="n">
        <f aca="false">COUNTIFS('Objectifs par module'!$A$5:$A$81,I$4,'Objectifs par module'!$D$5:$D$81,$A14)</f>
        <v>1</v>
      </c>
      <c r="J14" s="37" t="n">
        <f aca="false">COUNTIFS('Objectifs par module'!$A$5:$A$81,J$4,'Objectifs par module'!$D$5:$D$81,$A14)</f>
        <v>1</v>
      </c>
      <c r="K14" s="37" t="n">
        <f aca="false">COUNTIFS('Objectifs par module'!$A$5:$A$81,K$4,'Objectifs par module'!$D$5:$D$81,$A14)</f>
        <v>1</v>
      </c>
      <c r="L14" s="37" t="n">
        <f aca="false">COUNTIFS('Objectifs par module'!$A$5:$A$81,L$4,'Objectifs par module'!$D$5:$D$81,$A14)</f>
        <v>3</v>
      </c>
      <c r="M14" s="37" t="n">
        <f aca="false">COUNTIFS('Objectifs par module'!$A$5:$A$81,M$4,'Objectifs par module'!$D$5:$D$81,$A14)</f>
        <v>0</v>
      </c>
      <c r="N14" s="37" t="n">
        <f aca="false">COUNTIFS('Objectifs par module'!$A$5:$A$81,N$4,'Objectifs par module'!$D$5:$D$81,$A14)</f>
        <v>1</v>
      </c>
      <c r="O14" s="37" t="n">
        <f aca="false">COUNTIFS('Objectifs par module'!$A$5:$A$81,O$4,'Objectifs par module'!$D$5:$D$81,$A14)</f>
        <v>0</v>
      </c>
      <c r="P14" s="37" t="n">
        <f aca="false">COUNTIFS('Objectifs par module'!$A$5:$A$81,P$4,'Objectifs par module'!$D$5:$D$81,$A14)</f>
        <v>1</v>
      </c>
      <c r="Q14" s="37" t="n">
        <f aca="false">COUNTIFS('Objectifs par module'!$A$5:$A$81,Q$4,'Objectifs par module'!$D$5:$D$81,$A14)</f>
        <v>2</v>
      </c>
      <c r="R14" s="37" t="n">
        <f aca="false">COUNTIFS('Objectifs par module'!$A$5:$A$81,R$4,'Objectifs par module'!$D$5:$D$81,$A14)</f>
        <v>0</v>
      </c>
      <c r="S14" s="18" t="n">
        <f aca="false">SUM(C14:R14)</f>
        <v>19</v>
      </c>
      <c r="T14" s="37" t="str">
        <f aca="false">IF(S14=0,"NON COUVERT",IF(S14=1,"un seul module","couvert"))</f>
        <v>couvert</v>
      </c>
    </row>
    <row r="15" customFormat="false" ht="27.75" hidden="false" customHeight="true" outlineLevel="0" collapsed="false">
      <c r="A15" s="35" t="s">
        <v>39</v>
      </c>
      <c r="B15" s="36" t="s">
        <v>40</v>
      </c>
      <c r="C15" s="37" t="n">
        <f aca="false">COUNTIFS('Objectifs par module'!$A$5:$A$81,C$4,'Objectifs par module'!$D$5:$D$81,$A15)</f>
        <v>0</v>
      </c>
      <c r="D15" s="37" t="n">
        <f aca="false">COUNTIFS('Objectifs par module'!$A$5:$A$81,D$4,'Objectifs par module'!$D$5:$D$81,$A15)</f>
        <v>0</v>
      </c>
      <c r="E15" s="37" t="n">
        <f aca="false">COUNTIFS('Objectifs par module'!$A$5:$A$81,E$4,'Objectifs par module'!$D$5:$D$81,$A15)</f>
        <v>0</v>
      </c>
      <c r="F15" s="37" t="n">
        <f aca="false">COUNTIFS('Objectifs par module'!$A$5:$A$81,F$4,'Objectifs par module'!$D$5:$D$81,$A15)</f>
        <v>0</v>
      </c>
      <c r="G15" s="37" t="n">
        <f aca="false">COUNTIFS('Objectifs par module'!$A$5:$A$81,G$4,'Objectifs par module'!$D$5:$D$81,$A15)</f>
        <v>0</v>
      </c>
      <c r="H15" s="37" t="n">
        <f aca="false">COUNTIFS('Objectifs par module'!$A$5:$A$81,H$4,'Objectifs par module'!$D$5:$D$81,$A15)</f>
        <v>0</v>
      </c>
      <c r="I15" s="37" t="n">
        <f aca="false">COUNTIFS('Objectifs par module'!$A$5:$A$81,I$4,'Objectifs par module'!$D$5:$D$81,$A15)</f>
        <v>0</v>
      </c>
      <c r="J15" s="37" t="n">
        <f aca="false">COUNTIFS('Objectifs par module'!$A$5:$A$81,J$4,'Objectifs par module'!$D$5:$D$81,$A15)</f>
        <v>0</v>
      </c>
      <c r="K15" s="37" t="n">
        <f aca="false">COUNTIFS('Objectifs par module'!$A$5:$A$81,K$4,'Objectifs par module'!$D$5:$D$81,$A15)</f>
        <v>0</v>
      </c>
      <c r="L15" s="37" t="n">
        <f aca="false">COUNTIFS('Objectifs par module'!$A$5:$A$81,L$4,'Objectifs par module'!$D$5:$D$81,$A15)</f>
        <v>0</v>
      </c>
      <c r="M15" s="37" t="n">
        <f aca="false">COUNTIFS('Objectifs par module'!$A$5:$A$81,M$4,'Objectifs par module'!$D$5:$D$81,$A15)</f>
        <v>1</v>
      </c>
      <c r="N15" s="37" t="n">
        <f aca="false">COUNTIFS('Objectifs par module'!$A$5:$A$81,N$4,'Objectifs par module'!$D$5:$D$81,$A15)</f>
        <v>0</v>
      </c>
      <c r="O15" s="37" t="n">
        <f aca="false">COUNTIFS('Objectifs par module'!$A$5:$A$81,O$4,'Objectifs par module'!$D$5:$D$81,$A15)</f>
        <v>0</v>
      </c>
      <c r="P15" s="37" t="n">
        <f aca="false">COUNTIFS('Objectifs par module'!$A$5:$A$81,P$4,'Objectifs par module'!$D$5:$D$81,$A15)</f>
        <v>0</v>
      </c>
      <c r="Q15" s="37" t="n">
        <f aca="false">COUNTIFS('Objectifs par module'!$A$5:$A$81,Q$4,'Objectifs par module'!$D$5:$D$81,$A15)</f>
        <v>0</v>
      </c>
      <c r="R15" s="37" t="n">
        <f aca="false">COUNTIFS('Objectifs par module'!$A$5:$A$81,R$4,'Objectifs par module'!$D$5:$D$81,$A15)</f>
        <v>0</v>
      </c>
      <c r="S15" s="18" t="n">
        <f aca="false">SUM(C15:R15)</f>
        <v>1</v>
      </c>
      <c r="T15" s="37" t="str">
        <f aca="false">IF(S15=0,"NON COUVERT",IF(S15=1,"un seul module","couvert"))</f>
        <v>un seul module</v>
      </c>
    </row>
    <row r="17" customFormat="false" ht="15" hidden="false" customHeight="false" outlineLevel="0" collapsed="false">
      <c r="A17" s="10" t="s">
        <v>497</v>
      </c>
    </row>
    <row r="18" customFormat="false" ht="15" hidden="false" customHeight="false" outlineLevel="0" collapsed="false">
      <c r="A18" s="25" t="s">
        <v>498</v>
      </c>
    </row>
    <row r="19" customFormat="false" ht="15" hidden="false" customHeight="false" outlineLevel="0" collapsed="false">
      <c r="A19" s="25" t="s">
        <v>499</v>
      </c>
    </row>
    <row r="20" customFormat="false" ht="15" hidden="false" customHeight="false" outlineLevel="0" collapsed="false">
      <c r="A20" s="25" t="s">
        <v>500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1"/>
    <col collapsed="false" customWidth="true" hidden="false" outlineLevel="0" max="4" min="4" style="0" width="80"/>
  </cols>
  <sheetData>
    <row r="1" customFormat="false" ht="25.5" hidden="false" customHeight="true" outlineLevel="0" collapsed="false">
      <c r="A1" s="1" t="s">
        <v>501</v>
      </c>
      <c r="B1" s="1"/>
      <c r="C1" s="1"/>
      <c r="D1" s="1"/>
    </row>
    <row r="2" customFormat="false" ht="18" hidden="false" customHeight="true" outlineLevel="0" collapsed="false">
      <c r="A2" s="2" t="s">
        <v>502</v>
      </c>
      <c r="B2" s="2"/>
      <c r="C2" s="2"/>
      <c r="D2" s="2"/>
    </row>
    <row r="4" customFormat="false" ht="31.5" hidden="false" customHeight="true" outlineLevel="0" collapsed="false">
      <c r="A4" s="3" t="s">
        <v>503</v>
      </c>
      <c r="B4" s="3" t="s">
        <v>504</v>
      </c>
      <c r="C4" s="3" t="s">
        <v>505</v>
      </c>
      <c r="D4" s="3" t="s">
        <v>506</v>
      </c>
    </row>
    <row r="5" customFormat="false" ht="45.75" hidden="false" customHeight="true" outlineLevel="0" collapsed="false">
      <c r="A5" s="38" t="s">
        <v>507</v>
      </c>
      <c r="B5" s="39" t="s">
        <v>508</v>
      </c>
      <c r="C5" s="13"/>
      <c r="D5" s="12" t="s">
        <v>509</v>
      </c>
    </row>
    <row r="6" customFormat="false" ht="45.75" hidden="false" customHeight="true" outlineLevel="0" collapsed="false">
      <c r="A6" s="38" t="s">
        <v>510</v>
      </c>
      <c r="B6" s="39" t="s">
        <v>508</v>
      </c>
      <c r="C6" s="13"/>
      <c r="D6" s="12" t="s">
        <v>511</v>
      </c>
    </row>
    <row r="7" customFormat="false" ht="45.75" hidden="false" customHeight="true" outlineLevel="0" collapsed="false">
      <c r="A7" s="38" t="s">
        <v>512</v>
      </c>
      <c r="B7" s="39" t="s">
        <v>508</v>
      </c>
      <c r="C7" s="13"/>
      <c r="D7" s="12" t="s">
        <v>513</v>
      </c>
    </row>
    <row r="8" customFormat="false" ht="45.75" hidden="false" customHeight="true" outlineLevel="0" collapsed="false">
      <c r="A8" s="38" t="s">
        <v>514</v>
      </c>
      <c r="B8" s="39" t="s">
        <v>508</v>
      </c>
      <c r="C8" s="13"/>
      <c r="D8" s="12" t="s">
        <v>515</v>
      </c>
    </row>
    <row r="9" customFormat="false" ht="45.75" hidden="false" customHeight="true" outlineLevel="0" collapsed="false">
      <c r="A9" s="38" t="s">
        <v>516</v>
      </c>
      <c r="B9" s="39" t="s">
        <v>508</v>
      </c>
      <c r="C9" s="13"/>
      <c r="D9" s="12" t="s">
        <v>517</v>
      </c>
    </row>
    <row r="10" customFormat="false" ht="45.75" hidden="false" customHeight="true" outlineLevel="0" collapsed="false">
      <c r="A10" s="38" t="s">
        <v>518</v>
      </c>
      <c r="B10" s="39" t="s">
        <v>508</v>
      </c>
      <c r="C10" s="13"/>
      <c r="D10" s="12" t="s">
        <v>519</v>
      </c>
    </row>
    <row r="11" customFormat="false" ht="45.75" hidden="false" customHeight="true" outlineLevel="0" collapsed="false">
      <c r="A11" s="38" t="s">
        <v>520</v>
      </c>
      <c r="B11" s="39" t="s">
        <v>508</v>
      </c>
      <c r="C11" s="13"/>
      <c r="D11" s="12" t="s">
        <v>521</v>
      </c>
    </row>
    <row r="12" customFormat="false" ht="45.75" hidden="false" customHeight="true" outlineLevel="0" collapsed="false">
      <c r="A12" s="38" t="s">
        <v>522</v>
      </c>
      <c r="B12" s="39" t="s">
        <v>508</v>
      </c>
      <c r="C12" s="13"/>
      <c r="D12" s="12" t="s">
        <v>523</v>
      </c>
    </row>
    <row r="13" customFormat="false" ht="45.75" hidden="false" customHeight="true" outlineLevel="0" collapsed="false">
      <c r="A13" s="38" t="s">
        <v>524</v>
      </c>
      <c r="B13" s="39" t="s">
        <v>508</v>
      </c>
      <c r="C13" s="13"/>
      <c r="D13" s="12" t="s">
        <v>525</v>
      </c>
    </row>
    <row r="14" customFormat="false" ht="45.75" hidden="false" customHeight="true" outlineLevel="0" collapsed="false">
      <c r="A14" s="38" t="s">
        <v>526</v>
      </c>
      <c r="B14" s="39" t="s">
        <v>508</v>
      </c>
      <c r="C14" s="13"/>
      <c r="D14" s="12" t="s">
        <v>527</v>
      </c>
    </row>
    <row r="16" customFormat="false" ht="30" hidden="false" customHeight="true" outlineLevel="0" collapsed="false">
      <c r="A16" s="40" t="s">
        <v>528</v>
      </c>
      <c r="B16" s="40"/>
      <c r="C16" s="40"/>
      <c r="D16" s="40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2026-10-11T19:54:14Z</dcterms:created>
  <dc:creator>openpyxl</dc:creator>
  <dc:description/>
  <dc:language>en-US</dc:language>
  <cp:lastModifiedBy/>
  <dcterms:modified xsi:type="dcterms:W3CDTF">2026-10-11T19:54:14Z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