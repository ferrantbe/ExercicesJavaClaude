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bjectifs examen" sheetId="1" state="visible" r:id="rId1"/>
    <sheet xmlns:r="http://schemas.openxmlformats.org/officeDocument/2006/relationships" name="Modules" sheetId="2" state="visible" r:id="rId2"/>
    <sheet xmlns:r="http://schemas.openxmlformats.org/officeDocument/2006/relationships" name="Exercices" sheetId="3" state="visible" r:id="rId3"/>
    <sheet xmlns:r="http://schemas.openxmlformats.org/officeDocument/2006/relationships" name="Objectifs par module" sheetId="4" state="visible" r:id="rId4"/>
    <sheet xmlns:r="http://schemas.openxmlformats.org/officeDocument/2006/relationships" name="Couverture" sheetId="5" state="visible" r:id="rId5"/>
    <sheet xmlns:r="http://schemas.openxmlformats.org/officeDocument/2006/relationships" name="Verifications" sheetId="6" state="visible" r:id="rId6"/>
  </sheets>
  <definedNames>
    <definedName name="_xlnm._FilterDatabase" localSheetId="1" hidden="1">'Modules'!$A$4:$K$22</definedName>
    <definedName name="_xlnm._FilterDatabase" localSheetId="2" hidden="1">'Exercices'!$A$4:$F$83</definedName>
    <definedName name="_xlnm._FilterDatabase" localSheetId="3" hidden="1">'Objectifs par module'!$A$4:$E$81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color rgb="00FFFFFF"/>
      <sz val="14"/>
    </font>
    <font>
      <name val="Arial"/>
      <i val="1"/>
      <color rgb="00595959"/>
      <sz val="9"/>
    </font>
    <font>
      <name val="Arial"/>
      <b val="1"/>
      <color rgb="001F4E79"/>
      <sz val="10"/>
    </font>
    <font>
      <name val="Arial"/>
      <color rgb="00000000"/>
      <sz val="10"/>
    </font>
    <font>
      <name val="Arial"/>
      <b val="1"/>
      <color rgb="001F4E79"/>
      <sz val="9"/>
    </font>
    <font>
      <name val="Arial"/>
      <sz val="10"/>
    </font>
    <font>
      <name val="Arial"/>
      <b val="1"/>
      <color rgb="00000000"/>
      <sz val="10"/>
    </font>
    <font>
      <name val="Arial"/>
      <b val="1"/>
      <sz val="10"/>
    </font>
    <font>
      <name val="Arial"/>
      <color rgb="009C2B2B"/>
      <sz val="10"/>
    </font>
    <font>
      <name val="Arial"/>
      <sz val="9"/>
    </font>
    <font>
      <name val="Arial"/>
      <i val="1"/>
      <color rgb="001F4E79"/>
      <sz val="10"/>
    </font>
  </fonts>
  <fills count="11">
    <fill>
      <patternFill/>
    </fill>
    <fill>
      <patternFill patternType="gray125"/>
    </fill>
    <fill>
      <patternFill patternType="solid">
        <fgColor rgb="001F4E79"/>
      </patternFill>
    </fill>
    <fill>
      <patternFill patternType="solid">
        <fgColor rgb="00DEEAF6"/>
      </patternFill>
    </fill>
    <fill>
      <patternFill patternType="solid">
        <fgColor rgb="00F2F2F2"/>
      </patternFill>
    </fill>
    <fill>
      <patternFill patternType="solid">
        <fgColor rgb="00D9E7D2"/>
      </patternFill>
    </fill>
    <fill>
      <patternFill patternType="solid">
        <fgColor rgb="00FFF2CC"/>
      </patternFill>
    </fill>
    <fill>
      <patternFill patternType="solid">
        <fgColor rgb="00FBE9D5"/>
      </patternFill>
    </fill>
    <fill>
      <patternFill patternType="solid">
        <fgColor rgb="00FCE4E4"/>
      </patternFill>
    </fill>
    <fill>
      <patternFill patternType="solid">
        <fgColor rgb="00D9EAD3"/>
      </patternFill>
    </fill>
    <fill>
      <patternFill patternType="solid">
        <fgColor rgb="00F4CC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7">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center" indent="1"/>
    </xf>
    <xf numFmtId="0" fontId="3" fillId="3" borderId="1" applyAlignment="1" pivotButton="0" quotePrefix="0" xfId="0">
      <alignment horizontal="center" vertical="center" wrapText="1"/>
    </xf>
    <xf numFmtId="0" fontId="3" fillId="4" borderId="1" applyAlignment="1" pivotButton="0" quotePrefix="0" xfId="0">
      <alignment horizontal="left" vertical="top"/>
    </xf>
    <xf numFmtId="0" fontId="3" fillId="4" borderId="1" applyAlignment="1" pivotButton="0" quotePrefix="0" xfId="0">
      <alignment horizontal="left" vertical="top" wrapText="1"/>
    </xf>
    <xf numFmtId="0" fontId="3" fillId="4" borderId="1" applyAlignment="1" pivotButton="0" quotePrefix="0" xfId="0">
      <alignment horizontal="center" vertical="top"/>
    </xf>
    <xf numFmtId="0" fontId="4" fillId="0" borderId="1" applyAlignment="1" pivotButton="0" quotePrefix="0" xfId="0">
      <alignment horizontal="left" vertical="top"/>
    </xf>
    <xf numFmtId="0" fontId="4" fillId="0" borderId="1" applyAlignment="1" pivotButton="0" quotePrefix="0" xfId="0">
      <alignment horizontal="left" vertical="top" wrapText="1" indent="2"/>
    </xf>
    <xf numFmtId="0" fontId="4" fillId="0" borderId="1" applyAlignment="1" pivotButton="0" quotePrefix="0" xfId="0">
      <alignment horizontal="center" vertical="top"/>
    </xf>
    <xf numFmtId="0" fontId="5" fillId="0" borderId="0" pivotButton="0" quotePrefix="0" xfId="0"/>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6" fillId="0" borderId="1" applyAlignment="1" pivotButton="0" quotePrefix="0" xfId="0">
      <alignment horizontal="center" vertical="top"/>
    </xf>
    <xf numFmtId="0" fontId="7" fillId="0" borderId="1" applyAlignment="1" pivotButton="0" quotePrefix="0" xfId="0">
      <alignment horizontal="center" vertical="center"/>
    </xf>
    <xf numFmtId="0" fontId="4" fillId="0" borderId="1" applyAlignment="1" pivotButton="0" quotePrefix="0" xfId="0">
      <alignment horizontal="left" vertical="center" wrapText="1"/>
    </xf>
    <xf numFmtId="0" fontId="4" fillId="5" borderId="1" applyAlignment="1" pivotButton="0" quotePrefix="0" xfId="0">
      <alignment horizontal="center" vertical="center"/>
    </xf>
    <xf numFmtId="0" fontId="4" fillId="0" borderId="1" applyAlignment="1" pivotButton="0" quotePrefix="0" xfId="0">
      <alignment horizontal="center" vertical="center"/>
    </xf>
    <xf numFmtId="0" fontId="8" fillId="0" borderId="1" applyAlignment="1" pivotButton="0" quotePrefix="0" xfId="0">
      <alignment horizontal="center"/>
    </xf>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9" fillId="0" borderId="1" applyAlignment="1" pivotButton="0" quotePrefix="0" xfId="0">
      <alignment horizontal="center" vertical="center"/>
    </xf>
    <xf numFmtId="0" fontId="3" fillId="3" borderId="1" pivotButton="0" quotePrefix="0" xfId="0"/>
    <xf numFmtId="0" fontId="0" fillId="3" borderId="1" pivotButton="0" quotePrefix="0" xfId="0"/>
    <xf numFmtId="0" fontId="3" fillId="3" borderId="1" applyAlignment="1" pivotButton="0" quotePrefix="0" xfId="0">
      <alignment horizontal="center"/>
    </xf>
    <xf numFmtId="0" fontId="2" fillId="0" borderId="0" pivotButton="0" quotePrefix="0" xfId="0"/>
    <xf numFmtId="0" fontId="4" fillId="0" borderId="1" applyAlignment="1" pivotButton="0" quotePrefix="0" xfId="0">
      <alignment horizontal="center" vertical="center"/>
    </xf>
    <xf numFmtId="0" fontId="7" fillId="0" borderId="1" applyAlignment="1" pivotButton="0" quotePrefix="0" xfId="0">
      <alignment horizontal="center" vertical="center"/>
    </xf>
    <xf numFmtId="0" fontId="4" fillId="0" borderId="1" applyAlignment="1" pivotButton="0" quotePrefix="0" xfId="0">
      <alignment horizontal="left" vertical="center"/>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9" fillId="8" borderId="1" applyAlignment="1" pivotButton="0" quotePrefix="0" xfId="0">
      <alignment horizontal="center" vertical="center"/>
    </xf>
    <xf numFmtId="0" fontId="6" fillId="0" borderId="1" pivotButton="0" quotePrefix="0" xfId="0"/>
    <xf numFmtId="0" fontId="8" fillId="0" borderId="1" applyAlignment="1" pivotButton="0" quotePrefix="0" xfId="0">
      <alignment horizontal="center" vertical="top"/>
    </xf>
    <xf numFmtId="0" fontId="6" fillId="6" borderId="1" applyAlignment="1" pivotButton="0" quotePrefix="0" xfId="0">
      <alignment horizontal="center" vertical="top"/>
    </xf>
    <xf numFmtId="0" fontId="8" fillId="8" borderId="1" applyAlignment="1" pivotButton="0" quotePrefix="0" xfId="0">
      <alignment horizontal="center" vertical="top"/>
    </xf>
    <xf numFmtId="0" fontId="6" fillId="8" borderId="1" applyAlignment="1" pivotButton="0" quotePrefix="0" xfId="0">
      <alignment horizontal="center" vertical="top"/>
    </xf>
    <xf numFmtId="0" fontId="6" fillId="8" borderId="1" applyAlignment="1" pivotButton="0" quotePrefix="0" xfId="0">
      <alignment horizontal="left" vertical="top" wrapText="1"/>
    </xf>
    <xf numFmtId="0" fontId="6" fillId="8" borderId="1" applyAlignment="1" pivotButton="0" quotePrefix="0" xfId="0">
      <alignment horizontal="left" vertical="top"/>
    </xf>
    <xf numFmtId="0" fontId="8" fillId="0" borderId="1" pivotButton="0" quotePrefix="0" xfId="0"/>
    <xf numFmtId="0" fontId="10" fillId="0" borderId="1" applyAlignment="1" pivotButton="0" quotePrefix="0" xfId="0">
      <alignment vertical="top" wrapText="1"/>
    </xf>
    <xf numFmtId="0" fontId="6" fillId="0" borderId="1" applyAlignment="1" pivotButton="0" quotePrefix="0" xfId="0">
      <alignment horizontal="center"/>
    </xf>
    <xf numFmtId="0" fontId="8" fillId="0" borderId="1" applyAlignment="1" pivotButton="0" quotePrefix="0" xfId="0">
      <alignment horizontal="left" vertical="top" wrapText="1"/>
    </xf>
    <xf numFmtId="0" fontId="6" fillId="9" borderId="1" applyAlignment="1" pivotButton="0" quotePrefix="0" xfId="0">
      <alignment horizontal="center" vertical="top"/>
    </xf>
    <xf numFmtId="0" fontId="6" fillId="10" borderId="1" applyAlignment="1" pivotButton="0" quotePrefix="0" xfId="0">
      <alignment horizontal="center" vertical="top"/>
    </xf>
    <xf numFmtId="0" fontId="11" fillId="0" borderId="0" applyAlignment="1" pivotButton="0" quotePrefix="0" xfId="0">
      <alignment vertical="center"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3"/>
  <sheetViews>
    <sheetView showGridLines="0" workbookViewId="0">
      <pane ySplit="4" topLeftCell="A5" activePane="bottomLeft" state="frozen"/>
      <selection pane="bottomLeft" activeCell="A1" sqref="A1"/>
    </sheetView>
  </sheetViews>
  <sheetFormatPr baseColWidth="8" defaultRowHeight="15"/>
  <cols>
    <col width="10" customWidth="1" min="1" max="1"/>
    <col width="95" customWidth="1" min="2" max="2"/>
    <col width="20" customWidth="1" min="3" max="3"/>
  </cols>
  <sheetData>
    <row r="1" ht="26" customHeight="1">
      <c r="A1" s="1" t="inlineStr">
        <is>
          <t>Objectifs de l'unité d'enseignement</t>
        </is>
      </c>
    </row>
    <row r="2" ht="18" customHeight="1">
      <c r="A2" s="2" t="inlineStr">
        <is>
          <t>Recopiés des deux premières pages de l'examen de juin 2025. Ce sont eux qui font foi.</t>
        </is>
      </c>
    </row>
    <row r="4" ht="32" customHeight="1">
      <c r="A4" s="3" t="inlineStr">
        <is>
          <t>Code</t>
        </is>
      </c>
      <c r="B4" s="3" t="inlineStr">
        <is>
          <t>Compétence / objectif</t>
        </is>
      </c>
      <c r="C4" s="3" t="inlineStr">
        <is>
          <t>Question d'examen</t>
        </is>
      </c>
    </row>
    <row r="5" ht="20" customHeight="1">
      <c r="A5" s="4" t="inlineStr">
        <is>
          <t>A</t>
        </is>
      </c>
      <c r="B5" s="5" t="inlineStr">
        <is>
          <t>Concevoir, installer et utiliser des objets appropriés à la solution</t>
        </is>
      </c>
      <c r="C5" s="6" t="inlineStr"/>
    </row>
    <row r="6" ht="30" customHeight="1">
      <c r="A6" s="7" t="inlineStr">
        <is>
          <t>A.1</t>
        </is>
      </c>
      <c r="B6" s="8" t="inlineStr">
        <is>
          <t>Pouvoir définir et implémenter des classes et des objets Java simples</t>
        </is>
      </c>
      <c r="C6" s="9" t="inlineStr">
        <is>
          <t>Q1, Q2, Q4</t>
        </is>
      </c>
    </row>
    <row r="7" ht="30" customHeight="1">
      <c r="A7" s="7" t="inlineStr">
        <is>
          <t>A.2</t>
        </is>
      </c>
      <c r="B7" s="8" t="inlineStr">
        <is>
          <t>Pouvoir compléter des classes Java implémentées par un tiers</t>
        </is>
      </c>
      <c r="C7" s="9" t="inlineStr">
        <is>
          <t>Q3, Q4</t>
        </is>
      </c>
    </row>
    <row r="8" ht="30" customHeight="1">
      <c r="A8" s="7" t="inlineStr">
        <is>
          <t>A.3</t>
        </is>
      </c>
      <c r="B8" s="8" t="inlineStr">
        <is>
          <t>Pouvoir utiliser et interagir avec des classes et objets Java existants</t>
        </is>
      </c>
      <c r="C8" s="9" t="inlineStr">
        <is>
          <t>Q2</t>
        </is>
      </c>
    </row>
    <row r="9" ht="30" customHeight="1">
      <c r="A9" s="7" t="inlineStr">
        <is>
          <t>A.4</t>
        </is>
      </c>
      <c r="B9" s="8" t="inlineStr">
        <is>
          <t>Pouvoir dériver de nouvelles classes par héritage d'une classe Java existante</t>
        </is>
      </c>
      <c r="C9" s="9" t="inlineStr">
        <is>
          <t>Q4</t>
        </is>
      </c>
    </row>
    <row r="10" ht="30" customHeight="1">
      <c r="A10" s="7" t="inlineStr">
        <is>
          <t>A.5</t>
        </is>
      </c>
      <c r="B10" s="8" t="inlineStr">
        <is>
          <t>Pouvoir utiliser les classes du JDK pour accéder à des fichiers et pour réaliser une application disposant d'une interface graphique simple (JavaFX)</t>
        </is>
      </c>
      <c r="C10" s="9" t="inlineStr">
        <is>
          <t>Q5</t>
        </is>
      </c>
    </row>
    <row r="11" ht="30" customHeight="1">
      <c r="A11" s="7" t="inlineStr">
        <is>
          <t>A.6</t>
        </is>
      </c>
      <c r="B11" s="8" t="inlineStr">
        <is>
          <t>Pouvoir démontrer, au travers d'un exercice simple, sa compréhension du concept et du fonctionnement des expressions lambda introduites par Java 8</t>
        </is>
      </c>
      <c r="C11" s="9" t="inlineStr">
        <is>
          <t>—</t>
        </is>
      </c>
    </row>
    <row r="12" ht="20" customHeight="1">
      <c r="A12" s="4" t="inlineStr">
        <is>
          <t>B</t>
        </is>
      </c>
      <c r="B12" s="5" t="inlineStr">
        <is>
          <t>Concevoir et mettre en œuvre une procédure de test partiel et intégré</t>
        </is>
      </c>
      <c r="C12" s="6" t="inlineStr"/>
    </row>
    <row r="13" ht="30" customHeight="1">
      <c r="A13" s="7" t="inlineStr">
        <is>
          <t>B.1</t>
        </is>
      </c>
      <c r="B13" s="8" t="inlineStr">
        <is>
          <t>Pouvoir implémenter des classes de test simples (JUnit) sur base d'une classe implémentée par un tiers et/ou de spécifications techniques</t>
        </is>
      </c>
      <c r="C13" s="9" t="inlineStr">
        <is>
          <t>Q3</t>
        </is>
      </c>
    </row>
    <row r="14" ht="30" customHeight="1">
      <c r="A14" s="7" t="inlineStr">
        <is>
          <t>B.2</t>
        </is>
      </c>
      <c r="B14" s="8" t="inlineStr">
        <is>
          <t>Pouvoir implémenter des classes et objets Java simples et les classes de test correspondantes</t>
        </is>
      </c>
      <c r="C14" s="9" t="inlineStr">
        <is>
          <t>Q3</t>
        </is>
      </c>
    </row>
    <row r="15" ht="30" customHeight="1">
      <c r="A15" s="7" t="inlineStr">
        <is>
          <t>B.3</t>
        </is>
      </c>
      <c r="B15" s="8" t="inlineStr">
        <is>
          <t>Pouvoir, par l'exécution d'une batterie de tests (JUnit) implémentée par un tiers, repérer et débugger des problèmes simples dans des classes Java implémentées par un tiers</t>
        </is>
      </c>
      <c r="C15" s="9" t="inlineStr">
        <is>
          <t>Q3</t>
        </is>
      </c>
    </row>
    <row r="16" ht="20" customHeight="1">
      <c r="A16" s="4" t="inlineStr">
        <is>
          <t>C</t>
        </is>
      </c>
      <c r="B16" s="5" t="inlineStr">
        <is>
          <t>Justifier sa méthode de résolution ainsi que ses choix conceptuels et méthodologiques</t>
        </is>
      </c>
      <c r="C16" s="6" t="inlineStr"/>
    </row>
    <row r="17" ht="30" customHeight="1">
      <c r="A17" s="7" t="inlineStr">
        <is>
          <t>C.1</t>
        </is>
      </c>
      <c r="B17" s="8" t="inlineStr">
        <is>
          <t>Pouvoir justifier les choix de types d'attributs, d'appartenance des attributs et méthodes à l'une ou l'autre classe, et des interfaces de communication entre classes</t>
        </is>
      </c>
      <c r="C17" s="9" t="inlineStr">
        <is>
          <t>toutes</t>
        </is>
      </c>
    </row>
    <row r="18" ht="30" customHeight="1">
      <c r="A18" s="7" t="inlineStr">
        <is>
          <t>C.2</t>
        </is>
      </c>
      <c r="B18" s="8" t="inlineStr">
        <is>
          <t>Pouvoir justifier ses choix quant aux tests implémentés</t>
        </is>
      </c>
      <c r="C18" s="9" t="inlineStr">
        <is>
          <t>Q3</t>
        </is>
      </c>
    </row>
    <row r="20">
      <c r="A20" s="10" t="inlineStr">
        <is>
          <t>Critères du degré de maîtrise — transversaux</t>
        </is>
      </c>
    </row>
    <row r="22" ht="26" customHeight="1">
      <c r="A22" s="11" t="inlineStr">
        <is>
          <t>D.1</t>
        </is>
      </c>
      <c r="B22" s="12" t="inlineStr">
        <is>
          <t>La rigueur et le respect des spécificités du langage de programmation utilisé</t>
        </is>
      </c>
      <c r="C22" s="13" t="inlineStr">
        <is>
          <t>toutes</t>
        </is>
      </c>
    </row>
    <row r="23" ht="26" customHeight="1">
      <c r="A23" s="11" t="inlineStr">
        <is>
          <t>D.2</t>
        </is>
      </c>
      <c r="B23" s="12" t="inlineStr">
        <is>
          <t>Le style de programmation</t>
        </is>
      </c>
      <c r="C23" s="13" t="inlineStr">
        <is>
          <t>toutes</t>
        </is>
      </c>
    </row>
    <row r="24" ht="26" customHeight="1">
      <c r="A24" s="11" t="inlineStr">
        <is>
          <t>D.3</t>
        </is>
      </c>
      <c r="B24" s="12" t="inlineStr">
        <is>
          <t>L'adéquation et la pertinence de la solution développée</t>
        </is>
      </c>
      <c r="C24" s="13" t="inlineStr">
        <is>
          <t>toutes</t>
        </is>
      </c>
    </row>
    <row r="25" ht="26" customHeight="1">
      <c r="A25" s="11" t="inlineStr">
        <is>
          <t>D.4</t>
        </is>
      </c>
      <c r="B25" s="12" t="inlineStr">
        <is>
          <t>Le respect du temps alloué</t>
        </is>
      </c>
      <c r="C25" s="13" t="inlineStr">
        <is>
          <t>toutes</t>
        </is>
      </c>
    </row>
    <row r="26" ht="26" customHeight="1">
      <c r="A26" s="11" t="inlineStr">
        <is>
          <t>D.5</t>
        </is>
      </c>
      <c r="B26" s="12" t="inlineStr">
        <is>
          <t>La clarté et la précision dans l'utilisation du vocabulaire technique</t>
        </is>
      </c>
      <c r="C26" s="13" t="inlineStr">
        <is>
          <t>toutes</t>
        </is>
      </c>
    </row>
    <row r="27" ht="26" customHeight="1">
      <c r="A27" s="11" t="inlineStr">
        <is>
          <t>D.6</t>
        </is>
      </c>
      <c r="B27" s="12" t="inlineStr">
        <is>
          <t>L'utilisation de commentaires dans les codes, facilitant sa lecture</t>
        </is>
      </c>
      <c r="C27" s="13" t="inlineStr">
        <is>
          <t>toutes</t>
        </is>
      </c>
    </row>
    <row r="28" ht="26" customHeight="1">
      <c r="A28" s="11" t="inlineStr">
        <is>
          <t>D.7</t>
        </is>
      </c>
      <c r="B28" s="12" t="inlineStr">
        <is>
          <t>L'utilisation de commentaires Javadoc appropriés</t>
        </is>
      </c>
      <c r="C28" s="13" t="inlineStr">
        <is>
          <t>toutes</t>
        </is>
      </c>
    </row>
    <row r="29" ht="26" customHeight="1">
      <c r="A29" s="11" t="inlineStr">
        <is>
          <t>D.8</t>
        </is>
      </c>
      <c r="B29" s="12" t="inlineStr">
        <is>
          <t>Le degré d'autonomie atteint</t>
        </is>
      </c>
      <c r="C29" s="13" t="inlineStr">
        <is>
          <t>toutes</t>
        </is>
      </c>
    </row>
    <row r="30" ht="26" customHeight="1">
      <c r="A30" s="11" t="inlineStr">
        <is>
          <t>D.9</t>
        </is>
      </c>
      <c r="B30" s="12" t="inlineStr">
        <is>
          <t>L'utilisation appropriée des mécanismes d'héritage, de l'encapsulation public/protected/private, de renvoi de résultat vs modification de l'état interne</t>
        </is>
      </c>
      <c r="C30" s="13" t="inlineStr">
        <is>
          <t>toutes</t>
        </is>
      </c>
    </row>
    <row r="31" ht="26" customHeight="1">
      <c r="A31" s="11" t="inlineStr">
        <is>
          <t>D.10</t>
        </is>
      </c>
      <c r="B31" s="12" t="inlineStr">
        <is>
          <t>La correspondance exacte de la solution à l'énoncé initial</t>
        </is>
      </c>
      <c r="C31" s="13" t="inlineStr">
        <is>
          <t>toutes</t>
        </is>
      </c>
    </row>
    <row r="32" ht="26" customHeight="1">
      <c r="A32" s="11" t="inlineStr">
        <is>
          <t>D.11</t>
        </is>
      </c>
      <c r="B32" s="12" t="inlineStr">
        <is>
          <t>La correction du code, absence de bugs</t>
        </is>
      </c>
      <c r="C32" s="13" t="inlineStr">
        <is>
          <t>toutes</t>
        </is>
      </c>
    </row>
    <row r="33" ht="26" customHeight="1">
      <c r="A33" s="11" t="inlineStr">
        <is>
          <t>D.12</t>
        </is>
      </c>
      <c r="B33" s="12" t="inlineStr">
        <is>
          <t>La capacité à utiliser la documentation (javadoc) pour comprendre les spécifications d'objets du JDK</t>
        </is>
      </c>
      <c r="C33" s="13" t="inlineStr">
        <is>
          <t>toutes</t>
        </is>
      </c>
    </row>
  </sheetData>
  <mergeCells count="2">
    <mergeCell ref="A1:C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40" customWidth="1" min="2" max="2"/>
    <col width="10" customWidth="1" min="3" max="3"/>
    <col width="12" customWidth="1" min="4" max="4"/>
    <col width="11" customWidth="1" min="5" max="5"/>
    <col width="8" customWidth="1" min="6" max="6"/>
    <col width="11" customWidth="1" min="7" max="7"/>
    <col width="14" customWidth="1" min="8" max="8"/>
    <col width="16" customWidth="1" min="9" max="9"/>
    <col width="32" customWidth="1" min="10" max="10"/>
    <col width="9" customWidth="1" min="11" max="11"/>
  </cols>
  <sheetData>
    <row r="1" ht="26" customHeight="1">
      <c r="A1" s="1" t="inlineStr">
        <is>
          <t>Les modules, leur priorité et leurs supports</t>
        </is>
      </c>
    </row>
    <row r="2" ht="18" customHeight="1">
      <c r="A2" s="2" t="inlineStr">
        <is>
          <t>Organisés par module et non par séance : la répartition dans le calendrier se décide ailleurs, dans outils/livraisons.json, sans renommer un seul package.</t>
        </is>
      </c>
    </row>
    <row r="4" ht="32" customHeight="1">
      <c r="A4" s="3" t="inlineStr">
        <is>
          <t>Module</t>
        </is>
      </c>
      <c r="B4" s="3" t="inlineStr">
        <is>
          <t>Titre</t>
        </is>
      </c>
      <c r="C4" s="3" t="inlineStr">
        <is>
          <t>MoSCoW</t>
        </is>
      </c>
      <c r="D4" s="3" t="inlineStr">
        <is>
          <t>Deck(s)</t>
        </is>
      </c>
      <c r="E4" s="3" t="inlineStr">
        <is>
          <t>Exercices</t>
        </is>
      </c>
      <c r="F4" s="3" t="inlineStr">
        <is>
          <t>Tests</t>
        </is>
      </c>
      <c r="G4" s="3" t="inlineStr">
        <is>
          <t>Fascicule</t>
        </is>
      </c>
      <c r="H4" s="3" t="inlineStr">
        <is>
          <t>Démo de code</t>
        </is>
      </c>
      <c r="I4" s="3" t="inlineStr">
        <is>
          <t>Renvois mémento</t>
        </is>
      </c>
      <c r="J4" s="3" t="inlineStr">
        <is>
          <t>État</t>
        </is>
      </c>
      <c r="K4" s="3" t="inlineStr">
        <is>
          <t>Trous</t>
        </is>
      </c>
    </row>
    <row r="5" ht="24" customHeight="1">
      <c r="A5" s="14" t="inlineStr">
        <is>
          <t>POO</t>
        </is>
      </c>
      <c r="B5" s="15" t="inlineStr">
        <is>
          <t>Classes, objets et encapsulation</t>
        </is>
      </c>
      <c r="C5" s="16" t="inlineStr">
        <is>
          <t>Must</t>
        </is>
      </c>
      <c r="D5" s="17" t="inlineStr">
        <is>
          <t>01</t>
        </is>
      </c>
      <c r="E5" s="17" t="n">
        <v>5</v>
      </c>
      <c r="F5" s="17" t="n">
        <v>4</v>
      </c>
      <c r="G5" s="17" t="inlineStr">
        <is>
          <t>oui</t>
        </is>
      </c>
      <c r="H5" s="17" t="inlineStr">
        <is>
          <t>écrite</t>
        </is>
      </c>
      <c r="I5" s="17" t="n">
        <v>9</v>
      </c>
      <c r="J5" s="15" t="inlineStr">
        <is>
          <t>livré</t>
        </is>
      </c>
      <c r="K5" s="18">
        <f>COUNTIF(G5:H5,"non")+COUNTIF(G5:H5,"à écrire")+IF(I5=0,1,0)</f>
        <v/>
      </c>
    </row>
    <row r="6" ht="24" customHeight="1">
      <c r="A6" s="14" t="inlineStr">
        <is>
          <t>STA</t>
        </is>
      </c>
      <c r="B6" s="15" t="inlineStr">
        <is>
          <t>static : constantes, champs et méthodes de classe</t>
        </is>
      </c>
      <c r="C6" s="19" t="inlineStr">
        <is>
          <t>Should</t>
        </is>
      </c>
      <c r="D6" s="17" t="inlineStr">
        <is>
          <t>04</t>
        </is>
      </c>
      <c r="E6" s="17" t="n">
        <v>2</v>
      </c>
      <c r="F6" s="17" t="n">
        <v>2</v>
      </c>
      <c r="G6" s="17" t="inlineStr">
        <is>
          <t>oui</t>
        </is>
      </c>
      <c r="H6" s="17" t="inlineStr">
        <is>
          <t>écrite</t>
        </is>
      </c>
      <c r="I6" s="17" t="n">
        <v>5</v>
      </c>
      <c r="J6" s="15" t="inlineStr">
        <is>
          <t>livré</t>
        </is>
      </c>
      <c r="K6" s="18">
        <f>COUNTIF(G6:H6,"non")+COUNTIF(G6:H6,"à écrire")+IF(I6=0,1,0)</f>
        <v/>
      </c>
    </row>
    <row r="7" ht="24" customHeight="1">
      <c r="A7" s="14" t="inlineStr">
        <is>
          <t>TMP</t>
        </is>
      </c>
      <c r="B7" s="15" t="inlineStr">
        <is>
          <t>Dates et heures</t>
        </is>
      </c>
      <c r="C7" s="19" t="inlineStr">
        <is>
          <t>Should</t>
        </is>
      </c>
      <c r="D7" s="17" t="inlineStr">
        <is>
          <t>02</t>
        </is>
      </c>
      <c r="E7" s="17" t="n">
        <v>6</v>
      </c>
      <c r="F7" s="17" t="n">
        <v>6</v>
      </c>
      <c r="G7" s="17" t="inlineStr">
        <is>
          <t>oui</t>
        </is>
      </c>
      <c r="H7" s="17" t="inlineStr">
        <is>
          <t>écrite</t>
        </is>
      </c>
      <c r="I7" s="17" t="n">
        <v>3</v>
      </c>
      <c r="J7" s="15" t="inlineStr">
        <is>
          <t>livré</t>
        </is>
      </c>
      <c r="K7" s="18">
        <f>COUNTIF(G7:H7,"non")+COUNTIF(G7:H7,"à écrire")+IF(I7=0,1,0)</f>
        <v/>
      </c>
    </row>
    <row r="8" ht="24" customHeight="1">
      <c r="A8" s="14" t="inlineStr">
        <is>
          <t>PKG</t>
        </is>
      </c>
      <c r="B8" s="15" t="inlineStr">
        <is>
          <t>Packages et visibilité</t>
        </is>
      </c>
      <c r="C8" s="16" t="inlineStr">
        <is>
          <t>Must</t>
        </is>
      </c>
      <c r="D8" s="17" t="inlineStr">
        <is>
          <t>02</t>
        </is>
      </c>
      <c r="E8" s="17" t="n">
        <v>5</v>
      </c>
      <c r="F8" s="17" t="n">
        <v>5</v>
      </c>
      <c r="G8" s="17" t="inlineStr">
        <is>
          <t>oui</t>
        </is>
      </c>
      <c r="H8" s="17" t="inlineStr">
        <is>
          <t>écrite</t>
        </is>
      </c>
      <c r="I8" s="17" t="n">
        <v>3</v>
      </c>
      <c r="J8" s="15" t="inlineStr">
        <is>
          <t>livré</t>
        </is>
      </c>
      <c r="K8" s="18">
        <f>COUNTIF(G8:H8,"non")+COUNTIF(G8:H8,"à écrire")+IF(I8=0,1,0)</f>
        <v/>
      </c>
    </row>
    <row r="9" ht="24" customHeight="1">
      <c r="A9" s="14" t="inlineStr">
        <is>
          <t>TAB</t>
        </is>
      </c>
      <c r="B9" s="15" t="inlineStr">
        <is>
          <t>Tableaux, boucles, ternaire</t>
        </is>
      </c>
      <c r="C9" s="19" t="inlineStr">
        <is>
          <t>Should</t>
        </is>
      </c>
      <c r="D9" s="17" t="inlineStr">
        <is>
          <t>02</t>
        </is>
      </c>
      <c r="E9" s="17" t="n">
        <v>4</v>
      </c>
      <c r="F9" s="17" t="n">
        <v>4</v>
      </c>
      <c r="G9" s="17" t="inlineStr">
        <is>
          <t>oui</t>
        </is>
      </c>
      <c r="H9" s="17" t="inlineStr">
        <is>
          <t>écrite</t>
        </is>
      </c>
      <c r="I9" s="17" t="n">
        <v>3</v>
      </c>
      <c r="J9" s="15" t="inlineStr">
        <is>
          <t>livré</t>
        </is>
      </c>
      <c r="K9" s="18">
        <f>COUNTIF(G9:H9,"non")+COUNTIF(G9:H9,"à écrire")+IF(I9=0,1,0)</f>
        <v/>
      </c>
    </row>
    <row r="10" ht="24" customHeight="1">
      <c r="A10" s="14" t="inlineStr">
        <is>
          <t>ENU</t>
        </is>
      </c>
      <c r="B10" s="15" t="inlineStr">
        <is>
          <t>Énumérations et records</t>
        </is>
      </c>
      <c r="C10" s="19" t="inlineStr">
        <is>
          <t>Should</t>
        </is>
      </c>
      <c r="D10" s="17" t="inlineStr">
        <is>
          <t>02</t>
        </is>
      </c>
      <c r="E10" s="17" t="n">
        <v>4</v>
      </c>
      <c r="F10" s="17" t="n">
        <v>4</v>
      </c>
      <c r="G10" s="17" t="inlineStr">
        <is>
          <t>oui</t>
        </is>
      </c>
      <c r="H10" s="17" t="inlineStr">
        <is>
          <t>écrite</t>
        </is>
      </c>
      <c r="I10" s="17" t="n">
        <v>5</v>
      </c>
      <c r="J10" s="15" t="inlineStr">
        <is>
          <t>livré</t>
        </is>
      </c>
      <c r="K10" s="18">
        <f>COUNTIF(G10:H10,"non")+COUNTIF(G10:H10,"à écrire")+IF(I10=0,1,0)</f>
        <v/>
      </c>
    </row>
    <row r="11" ht="24" customHeight="1">
      <c r="A11" s="14" t="inlineStr">
        <is>
          <t>ABS</t>
        </is>
      </c>
      <c r="B11" s="15" t="inlineStr">
        <is>
          <t>Classes abstraites</t>
        </is>
      </c>
      <c r="C11" s="16" t="inlineStr">
        <is>
          <t>Must</t>
        </is>
      </c>
      <c r="D11" s="17" t="inlineStr">
        <is>
          <t>03</t>
        </is>
      </c>
      <c r="E11" s="17" t="n">
        <v>5</v>
      </c>
      <c r="F11" s="17" t="n">
        <v>5</v>
      </c>
      <c r="G11" s="17" t="inlineStr">
        <is>
          <t>oui</t>
        </is>
      </c>
      <c r="H11" s="17" t="inlineStr">
        <is>
          <t>écrite</t>
        </is>
      </c>
      <c r="I11" s="17" t="n">
        <v>2</v>
      </c>
      <c r="J11" s="15" t="inlineStr">
        <is>
          <t>livré</t>
        </is>
      </c>
      <c r="K11" s="18">
        <f>COUNTIF(G11:H11,"non")+COUNTIF(G11:H11,"à écrire")+IF(I11=0,1,0)</f>
        <v/>
      </c>
    </row>
    <row r="12" ht="24" customHeight="1">
      <c r="A12" s="14" t="inlineStr">
        <is>
          <t>ITF</t>
        </is>
      </c>
      <c r="B12" s="15" t="inlineStr">
        <is>
          <t>Interfaces</t>
        </is>
      </c>
      <c r="C12" s="16" t="inlineStr">
        <is>
          <t>Must</t>
        </is>
      </c>
      <c r="D12" s="17" t="inlineStr">
        <is>
          <t>03</t>
        </is>
      </c>
      <c r="E12" s="17" t="n">
        <v>4</v>
      </c>
      <c r="F12" s="17" t="n">
        <v>4</v>
      </c>
      <c r="G12" s="17" t="inlineStr">
        <is>
          <t>oui</t>
        </is>
      </c>
      <c r="H12" s="17" t="inlineStr">
        <is>
          <t>écrite</t>
        </is>
      </c>
      <c r="I12" s="17" t="n">
        <v>2</v>
      </c>
      <c r="J12" s="15" t="inlineStr">
        <is>
          <t>livré</t>
        </is>
      </c>
      <c r="K12" s="18">
        <f>COUNTIF(G12:H12,"non")+COUNTIF(G12:H12,"à écrire")+IF(I12=0,1,0)</f>
        <v/>
      </c>
    </row>
    <row r="13" ht="24" customHeight="1">
      <c r="A13" s="14" t="inlineStr">
        <is>
          <t>COL</t>
        </is>
      </c>
      <c r="B13" s="15" t="inlineStr">
        <is>
          <t>Collections</t>
        </is>
      </c>
      <c r="C13" s="16" t="inlineStr">
        <is>
          <t>Must</t>
        </is>
      </c>
      <c r="D13" s="17" t="inlineStr">
        <is>
          <t>05</t>
        </is>
      </c>
      <c r="E13" s="17" t="n">
        <v>7</v>
      </c>
      <c r="F13" s="17" t="n">
        <v>7</v>
      </c>
      <c r="G13" s="17" t="inlineStr">
        <is>
          <t>oui</t>
        </is>
      </c>
      <c r="H13" s="17" t="inlineStr">
        <is>
          <t>écrite</t>
        </is>
      </c>
      <c r="I13" s="17" t="n">
        <v>2</v>
      </c>
      <c r="J13" s="15" t="inlineStr">
        <is>
          <t>livré</t>
        </is>
      </c>
      <c r="K13" s="18">
        <f>COUNTIF(G13:H13,"non")+COUNTIF(G13:H13,"à écrire")+IF(I13=0,1,0)</f>
        <v/>
      </c>
    </row>
    <row r="14" ht="24" customHeight="1">
      <c r="A14" s="14" t="inlineStr">
        <is>
          <t>EXC</t>
        </is>
      </c>
      <c r="B14" s="15" t="inlineStr">
        <is>
          <t>Exceptions</t>
        </is>
      </c>
      <c r="C14" s="16" t="inlineStr">
        <is>
          <t>Must</t>
        </is>
      </c>
      <c r="D14" s="17" t="inlineStr">
        <is>
          <t>06</t>
        </is>
      </c>
      <c r="E14" s="17" t="n">
        <v>5</v>
      </c>
      <c r="F14" s="17" t="n">
        <v>5</v>
      </c>
      <c r="G14" s="17" t="inlineStr">
        <is>
          <t>oui</t>
        </is>
      </c>
      <c r="H14" s="17" t="inlineStr">
        <is>
          <t>écrite</t>
        </is>
      </c>
      <c r="I14" s="17" t="n">
        <v>3</v>
      </c>
      <c r="J14" s="15" t="inlineStr">
        <is>
          <t>livré</t>
        </is>
      </c>
      <c r="K14" s="18">
        <f>COUNTIF(G14:H14,"non")+COUNTIF(G14:H14,"à écrire")+IF(I14=0,1,0)</f>
        <v/>
      </c>
    </row>
    <row r="15" ht="24" customHeight="1">
      <c r="A15" s="14" t="inlineStr">
        <is>
          <t>JUN</t>
        </is>
      </c>
      <c r="B15" s="15" t="inlineStr">
        <is>
          <t>Tests unitaires JUnit</t>
        </is>
      </c>
      <c r="C15" s="16" t="inlineStr">
        <is>
          <t>Must</t>
        </is>
      </c>
      <c r="D15" s="17" t="inlineStr">
        <is>
          <t>07</t>
        </is>
      </c>
      <c r="E15" s="17" t="n">
        <v>3</v>
      </c>
      <c r="F15" s="17" t="n">
        <v>3</v>
      </c>
      <c r="G15" s="17" t="inlineStr">
        <is>
          <t>oui</t>
        </is>
      </c>
      <c r="H15" s="17" t="inlineStr">
        <is>
          <t>écrite</t>
        </is>
      </c>
      <c r="I15" s="17" t="n">
        <v>2</v>
      </c>
      <c r="J15" s="15" t="inlineStr">
        <is>
          <t>livré</t>
        </is>
      </c>
      <c r="K15" s="18">
        <f>COUNTIF(G15:H15,"non")+COUNTIF(G15:H15,"à écrire")+IF(I15=0,1,0)</f>
        <v/>
      </c>
    </row>
    <row r="16" ht="24" customHeight="1">
      <c r="A16" s="14" t="inlineStr">
        <is>
          <t>GEN</t>
        </is>
      </c>
      <c r="B16" s="15" t="inlineStr">
        <is>
          <t>Types génériques</t>
        </is>
      </c>
      <c r="C16" s="19" t="inlineStr">
        <is>
          <t>Should</t>
        </is>
      </c>
      <c r="D16" s="17" t="inlineStr">
        <is>
          <t>08a</t>
        </is>
      </c>
      <c r="E16" s="17" t="n">
        <v>6</v>
      </c>
      <c r="F16" s="17" t="n">
        <v>6</v>
      </c>
      <c r="G16" s="17" t="inlineStr">
        <is>
          <t>oui</t>
        </is>
      </c>
      <c r="H16" s="17" t="inlineStr">
        <is>
          <t>écrite</t>
        </is>
      </c>
      <c r="I16" s="17" t="n">
        <v>2</v>
      </c>
      <c r="J16" s="15" t="inlineStr">
        <is>
          <t>livré</t>
        </is>
      </c>
      <c r="K16" s="18">
        <f>COUNTIF(G16:H16,"non")+COUNTIF(G16:H16,"à écrire")+IF(I16=0,1,0)</f>
        <v/>
      </c>
    </row>
    <row r="17" ht="24" customHeight="1">
      <c r="A17" s="14" t="inlineStr">
        <is>
          <t>LAM</t>
        </is>
      </c>
      <c r="B17" s="15" t="inlineStr">
        <is>
          <t>Lambdas et références de méthodes</t>
        </is>
      </c>
      <c r="C17" s="16" t="inlineStr">
        <is>
          <t>Must</t>
        </is>
      </c>
      <c r="D17" s="17" t="inlineStr">
        <is>
          <t>08b</t>
        </is>
      </c>
      <c r="E17" s="17" t="n">
        <v>3</v>
      </c>
      <c r="F17" s="17" t="n">
        <v>3</v>
      </c>
      <c r="G17" s="17" t="inlineStr">
        <is>
          <t>oui</t>
        </is>
      </c>
      <c r="H17" s="17" t="inlineStr">
        <is>
          <t>écrite</t>
        </is>
      </c>
      <c r="I17" s="17" t="n">
        <v>4</v>
      </c>
      <c r="J17" s="15" t="inlineStr">
        <is>
          <t>livré</t>
        </is>
      </c>
      <c r="K17" s="18">
        <f>COUNTIF(G17:H17,"non")+COUNTIF(G17:H17,"à écrire")+IF(I17=0,1,0)</f>
        <v/>
      </c>
    </row>
    <row r="18" ht="24" customHeight="1">
      <c r="A18" s="14" t="inlineStr">
        <is>
          <t>FX</t>
        </is>
      </c>
      <c r="B18" s="15" t="inlineStr">
        <is>
          <t>JavaFX et gestion d'événements</t>
        </is>
      </c>
      <c r="C18" s="16" t="inlineStr">
        <is>
          <t>Must</t>
        </is>
      </c>
      <c r="D18" s="17" t="inlineStr">
        <is>
          <t>09, 10, 11</t>
        </is>
      </c>
      <c r="E18" s="17" t="n">
        <v>9</v>
      </c>
      <c r="F18" s="17" t="n">
        <v>0</v>
      </c>
      <c r="G18" s="17" t="inlineStr">
        <is>
          <t>oui</t>
        </is>
      </c>
      <c r="H18" s="17" t="inlineStr">
        <is>
          <t>écrite</t>
        </is>
      </c>
      <c r="I18" s="17" t="n">
        <v>6</v>
      </c>
      <c r="J18" s="15" t="inlineStr">
        <is>
          <t>livré — sans classes de test, par nature</t>
        </is>
      </c>
      <c r="K18" s="18">
        <f>COUNTIF(G18:H18,"non")+COUNTIF(G18:H18,"à écrire")+IF(I18=0,1,0)</f>
        <v/>
      </c>
    </row>
    <row r="19" ht="24" customHeight="1">
      <c r="A19" s="14" t="inlineStr">
        <is>
          <t>FIC</t>
        </is>
      </c>
      <c r="B19" s="15" t="inlineStr">
        <is>
          <t>Fichiers</t>
        </is>
      </c>
      <c r="C19" s="19" t="inlineStr">
        <is>
          <t>Should</t>
        </is>
      </c>
      <c r="D19" s="17" t="inlineStr">
        <is>
          <t>12</t>
        </is>
      </c>
      <c r="E19" s="17" t="n">
        <v>3</v>
      </c>
      <c r="F19" s="17" t="n">
        <v>3</v>
      </c>
      <c r="G19" s="17" t="inlineStr">
        <is>
          <t>oui</t>
        </is>
      </c>
      <c r="H19" s="17" t="inlineStr">
        <is>
          <t>écrite</t>
        </is>
      </c>
      <c r="I19" s="17" t="n">
        <v>5</v>
      </c>
      <c r="J19" s="15" t="inlineStr">
        <is>
          <t>livré</t>
        </is>
      </c>
      <c r="K19" s="18">
        <f>COUNTIF(G19:H19,"non")+COUNTIF(G19:H19,"à écrire")+IF(I19=0,1,0)</f>
        <v/>
      </c>
    </row>
    <row r="20" ht="24" customHeight="1">
      <c r="A20" s="14" t="inlineStr">
        <is>
          <t>REC</t>
        </is>
      </c>
      <c r="B20" s="15" t="inlineStr">
        <is>
          <t>Exercices récapitulatifs</t>
        </is>
      </c>
      <c r="C20" s="20" t="inlineStr">
        <is>
          <t>Could</t>
        </is>
      </c>
      <c r="D20" s="17" t="inlineStr">
        <is>
          <t>13</t>
        </is>
      </c>
      <c r="E20" s="17" t="n">
        <v>0</v>
      </c>
      <c r="F20" s="17" t="n">
        <v>0</v>
      </c>
      <c r="G20" s="21" t="inlineStr">
        <is>
          <t>non</t>
        </is>
      </c>
      <c r="H20" s="17" t="inlineStr">
        <is>
          <t>—</t>
        </is>
      </c>
      <c r="I20" s="17" t="n">
        <v>0</v>
      </c>
      <c r="J20" s="15" t="inlineStr">
        <is>
          <t>en attente — format à décider</t>
        </is>
      </c>
      <c r="K20" s="18">
        <f>COUNTIF(G20:H20,"non")+COUNTIF(G20:H20,"à écrire")+IF(I20=0,1,0)</f>
        <v/>
      </c>
    </row>
    <row r="21" ht="24" customHeight="1">
      <c r="A21" s="14" t="inlineStr">
        <is>
          <t>THR</t>
        </is>
      </c>
      <c r="B21" s="15" t="inlineStr">
        <is>
          <t>Threads</t>
        </is>
      </c>
      <c r="C21" s="20" t="inlineStr">
        <is>
          <t>Won't</t>
        </is>
      </c>
      <c r="D21" s="17" t="inlineStr">
        <is>
          <t>99</t>
        </is>
      </c>
      <c r="E21" s="17" t="n">
        <v>0</v>
      </c>
      <c r="F21" s="17" t="n">
        <v>0</v>
      </c>
      <c r="G21" s="21" t="inlineStr">
        <is>
          <t>non</t>
        </is>
      </c>
      <c r="H21" s="17" t="inlineStr">
        <is>
          <t>—</t>
        </is>
      </c>
      <c r="I21" s="17" t="n">
        <v>0</v>
      </c>
      <c r="J21" s="15" t="inlineStr">
        <is>
          <t>en suspens</t>
        </is>
      </c>
      <c r="K21" s="18">
        <f>COUNTIF(G21:H21,"non")+COUNTIF(G21:H21,"à écrire")+IF(I21=0,1,0)</f>
        <v/>
      </c>
    </row>
    <row r="22" ht="24" customHeight="1">
      <c r="A22" s="14" t="inlineStr">
        <is>
          <t>GAM</t>
        </is>
      </c>
      <c r="B22" s="15" t="inlineStr">
        <is>
          <t>Fil rouge GameHub</t>
        </is>
      </c>
      <c r="C22" s="20" t="inlineStr">
        <is>
          <t>Could</t>
        </is>
      </c>
      <c r="D22" s="17" t="inlineStr">
        <is>
          <t>01, 02, 03, 04, 06</t>
        </is>
      </c>
      <c r="E22" s="17" t="n">
        <v>30</v>
      </c>
      <c r="F22" s="17" t="n">
        <v>3</v>
      </c>
      <c r="G22" s="17" t="inlineStr">
        <is>
          <t>oui</t>
        </is>
      </c>
      <c r="H22" s="17" t="inlineStr">
        <is>
          <t>—</t>
        </is>
      </c>
      <c r="I22" s="17" t="n">
        <v>2</v>
      </c>
      <c r="J22" s="15" t="inlineStr">
        <is>
          <t>G.1 à G.30 — tout est corrigé sauf G.10, remplacé</t>
        </is>
      </c>
      <c r="K22" s="18">
        <f>COUNTIF(G22:H22,"non")+COUNTIF(G22:H22,"à écrire")+IF(I22=0,1,0)</f>
        <v/>
      </c>
    </row>
    <row r="23">
      <c r="A23" s="22" t="inlineStr">
        <is>
          <t>TOTAL</t>
        </is>
      </c>
      <c r="B23" s="23" t="n"/>
      <c r="C23" s="23" t="n"/>
      <c r="D23" s="23" t="n"/>
      <c r="E23" s="24">
        <f>SUM(E5:E22)</f>
        <v/>
      </c>
      <c r="F23" s="24">
        <f>SUM(F5:F22)</f>
        <v/>
      </c>
      <c r="G23" s="23" t="n"/>
      <c r="H23" s="23" t="n"/>
      <c r="I23" s="23" t="n"/>
      <c r="J23" s="23" t="n"/>
      <c r="K23" s="24">
        <f>SUM(K5:K22)</f>
        <v/>
      </c>
    </row>
    <row r="25">
      <c r="A25" s="10" t="inlineStr">
        <is>
          <t>Comment lire</t>
        </is>
      </c>
    </row>
    <row r="26">
      <c r="A26" s="25" t="inlineStr">
        <is>
          <t>MoSCoW du module : ce qu'on garde si l'année dérape, ce qu'on ajoute s'il reste du temps.</t>
        </is>
      </c>
    </row>
    <row r="27">
      <c r="A27" s="25" t="inlineStr">
        <is>
          <t>« Démo de code » : un exemple construit en direct dans IntelliJ pendant le cours. Elles vivent dans le module demos/, et leur scénario dans _demos/. Douze sur seize existent.</t>
        </is>
      </c>
    </row>
    <row r="28">
      <c r="A28" s="25" t="inlineStr">
        <is>
          <t>« Renvois mémento » : nombre de règles du mémento Clean Code citées dans le fascicule. Dix-sept des trente-quatre règles sont citées au moins une fois.</t>
        </is>
      </c>
    </row>
    <row r="29">
      <c r="A29" s="25" t="inlineStr">
        <is>
          <t>La colonne Trous compte les supports absents : fascicule, démo de code, et un zéro de renvois.</t>
        </is>
      </c>
    </row>
  </sheetData>
  <autoFilter ref="A4:K22"/>
  <mergeCells count="2">
    <mergeCell ref="A2:K2"/>
    <mergeCell ref="A1:K1"/>
  </mergeCells>
  <dataValidations count="1">
    <dataValidation sqref="C5 C6 C7 C8 C9 C10 C11 C12 C13 C14 C15 C16 C17 C18 C19 C20 C21 C22" showDropDown="0" showInputMessage="0" showErrorMessage="0" allowBlank="1" type="list">
      <formula1>"Must,Should,Could,Won't"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11" customWidth="1" min="2" max="2"/>
    <col width="54" customWidth="1" min="3" max="3"/>
    <col width="11" customWidth="1" min="4" max="4"/>
    <col width="16" customWidth="1" min="5" max="5"/>
    <col width="24" customWidth="1" min="6" max="6"/>
  </cols>
  <sheetData>
    <row r="1" ht="26" customHeight="1">
      <c r="A1" s="1" t="inlineStr">
        <is>
          <t>Les exercices, un par ligne</t>
        </is>
      </c>
    </row>
    <row r="2" ht="18" customHeight="1">
      <c r="A2" s="2" t="inlineStr">
        <is>
          <t>Colonne MoSCoW modifiable : elle dit quoi retirer si le temps manque, et quoi ajouter s'il en reste.</t>
        </is>
      </c>
    </row>
    <row r="4" ht="32" customHeight="1">
      <c r="A4" s="3" t="inlineStr">
        <is>
          <t>Module</t>
        </is>
      </c>
      <c r="B4" s="3" t="inlineStr">
        <is>
          <t>Code</t>
        </is>
      </c>
      <c r="C4" s="3" t="inlineStr">
        <is>
          <t>Intitulé</t>
        </is>
      </c>
      <c r="D4" s="3" t="inlineStr">
        <is>
          <t>MoSCoW</t>
        </is>
      </c>
      <c r="E4" s="3" t="inlineStr">
        <is>
          <t>Objectif examen</t>
        </is>
      </c>
      <c r="F4" s="3" t="inlineStr">
        <is>
          <t>État</t>
        </is>
      </c>
    </row>
    <row r="5">
      <c r="A5" s="26" t="inlineStr">
        <is>
          <t>POO</t>
        </is>
      </c>
      <c r="B5" s="27" t="inlineStr">
        <is>
          <t>POO.1</t>
        </is>
      </c>
      <c r="C5" s="28" t="inlineStr">
        <is>
          <t>Classe Personne, champs publics</t>
        </is>
      </c>
      <c r="D5" s="29" t="inlineStr">
        <is>
          <t>Must</t>
        </is>
      </c>
      <c r="E5" s="26" t="inlineStr">
        <is>
          <t>A.1</t>
        </is>
      </c>
      <c r="F5" s="26" t="inlineStr">
        <is>
          <t>livré</t>
        </is>
      </c>
    </row>
    <row r="6">
      <c r="A6" s="26" t="inlineStr">
        <is>
          <t>POO</t>
        </is>
      </c>
      <c r="B6" s="27" t="inlineStr">
        <is>
          <t>POO.2</t>
        </is>
      </c>
      <c r="C6" s="28" t="inlineStr">
        <is>
          <t>Encapsulation, la question du champ age</t>
        </is>
      </c>
      <c r="D6" s="29" t="inlineStr">
        <is>
          <t>Must</t>
        </is>
      </c>
      <c r="E6" s="26" t="inlineStr">
        <is>
          <t>A.1</t>
        </is>
      </c>
      <c r="F6" s="26" t="inlineStr">
        <is>
          <t>livré</t>
        </is>
      </c>
    </row>
    <row r="7">
      <c r="A7" s="26" t="inlineStr">
        <is>
          <t>POO</t>
        </is>
      </c>
      <c r="B7" s="27" t="inlineStr">
        <is>
          <t>POO.3</t>
        </is>
      </c>
      <c r="C7" s="28" t="inlineStr">
        <is>
          <t>Supprimer la donnée redondante</t>
        </is>
      </c>
      <c r="D7" s="30" t="inlineStr">
        <is>
          <t>Should</t>
        </is>
      </c>
      <c r="E7" s="26" t="inlineStr">
        <is>
          <t>C.1</t>
        </is>
      </c>
      <c r="F7" s="26" t="inlineStr">
        <is>
          <t>livré</t>
        </is>
      </c>
    </row>
    <row r="8">
      <c r="A8" s="26" t="inlineStr">
        <is>
          <t>POO</t>
        </is>
      </c>
      <c r="B8" s="27" t="inlineStr">
        <is>
          <t>POO.4</t>
        </is>
      </c>
      <c r="C8" s="28" t="inlineStr">
        <is>
          <t>Passage de paramètres, valeur et référence</t>
        </is>
      </c>
      <c r="D8" s="29" t="inlineStr">
        <is>
          <t>Must</t>
        </is>
      </c>
      <c r="E8" s="26" t="inlineStr">
        <is>
          <t>C.1</t>
        </is>
      </c>
      <c r="F8" s="26" t="inlineStr">
        <is>
          <t>livré</t>
        </is>
      </c>
    </row>
    <row r="9">
      <c r="A9" s="26" t="inlineStr">
        <is>
          <t>POO</t>
        </is>
      </c>
      <c r="B9" s="27" t="inlineStr">
        <is>
          <t>POO.5</t>
        </is>
      </c>
      <c r="C9" s="28" t="inlineStr">
        <is>
          <t>Séparer le calcul du dialogue</t>
        </is>
      </c>
      <c r="D9" s="30" t="inlineStr">
        <is>
          <t>Should</t>
        </is>
      </c>
      <c r="E9" s="26" t="inlineStr">
        <is>
          <t>C.1</t>
        </is>
      </c>
      <c r="F9" s="26" t="inlineStr">
        <is>
          <t>livré</t>
        </is>
      </c>
    </row>
    <row r="10">
      <c r="A10" s="26" t="inlineStr">
        <is>
          <t>STA</t>
        </is>
      </c>
      <c r="B10" s="27" t="inlineStr">
        <is>
          <t>STA.1</t>
        </is>
      </c>
      <c r="C10" s="28" t="inlineStr">
        <is>
          <t>Constantes et compteur d'instances</t>
        </is>
      </c>
      <c r="D10" s="30" t="inlineStr">
        <is>
          <t>Should</t>
        </is>
      </c>
      <c r="E10" s="26" t="inlineStr">
        <is>
          <t>A.1</t>
        </is>
      </c>
      <c r="F10" s="26" t="inlineStr">
        <is>
          <t>livré</t>
        </is>
      </c>
    </row>
    <row r="11">
      <c r="A11" s="26" t="inlineStr">
        <is>
          <t>STA</t>
        </is>
      </c>
      <c r="B11" s="27" t="inlineStr">
        <is>
          <t>STA.2</t>
        </is>
      </c>
      <c r="C11" s="28" t="inlineStr">
        <is>
          <t>Méthode statique et fabrique</t>
        </is>
      </c>
      <c r="D11" s="31" t="inlineStr">
        <is>
          <t>Could</t>
        </is>
      </c>
      <c r="E11" s="26" t="inlineStr">
        <is>
          <t>C.1</t>
        </is>
      </c>
      <c r="F11" s="26" t="inlineStr">
        <is>
          <t>livré</t>
        </is>
      </c>
    </row>
    <row r="12">
      <c r="A12" s="26" t="inlineStr">
        <is>
          <t>TMP</t>
        </is>
      </c>
      <c r="B12" s="27" t="inlineStr">
        <is>
          <t>TMP.1</t>
        </is>
      </c>
      <c r="C12" s="28" t="inlineStr">
        <is>
          <t>Mesurer un écart entre deux dates</t>
        </is>
      </c>
      <c r="D12" s="30" t="inlineStr">
        <is>
          <t>Should</t>
        </is>
      </c>
      <c r="E12" s="26" t="inlineStr">
        <is>
          <t>A.3</t>
        </is>
      </c>
      <c r="F12" s="26" t="inlineStr">
        <is>
          <t>livré</t>
        </is>
      </c>
    </row>
    <row r="13">
      <c r="A13" s="26" t="inlineStr">
        <is>
          <t>TMP</t>
        </is>
      </c>
      <c r="B13" s="27" t="inlineStr">
        <is>
          <t>TMP.2</t>
        </is>
      </c>
      <c r="C13" s="28" t="inlineStr">
        <is>
          <t>Les dates sont immuables</t>
        </is>
      </c>
      <c r="D13" s="29" t="inlineStr">
        <is>
          <t>Must</t>
        </is>
      </c>
      <c r="E13" s="26" t="inlineStr">
        <is>
          <t>A.3</t>
        </is>
      </c>
      <c r="F13" s="26" t="inlineStr">
        <is>
          <t>livré</t>
        </is>
      </c>
    </row>
    <row r="14">
      <c r="A14" s="26" t="inlineStr">
        <is>
          <t>TMP</t>
        </is>
      </c>
      <c r="B14" s="27" t="inlineStr">
        <is>
          <t>TMP.3</t>
        </is>
      </c>
      <c r="C14" s="28" t="inlineStr">
        <is>
          <t>Compter des secondes : date ou instant</t>
        </is>
      </c>
      <c r="D14" s="31" t="inlineStr">
        <is>
          <t>Could</t>
        </is>
      </c>
      <c r="E14" s="26" t="inlineStr">
        <is>
          <t>A.3</t>
        </is>
      </c>
      <c r="F14" s="26" t="inlineStr">
        <is>
          <t>livré</t>
        </is>
      </c>
    </row>
    <row r="15">
      <c r="A15" s="26" t="inlineStr">
        <is>
          <t>TMP</t>
        </is>
      </c>
      <c r="B15" s="27" t="inlineStr">
        <is>
          <t>TMP.4</t>
        </is>
      </c>
      <c r="C15" s="28" t="inlineStr">
        <is>
          <t>L'arithmétique des mois</t>
        </is>
      </c>
      <c r="D15" s="31" t="inlineStr">
        <is>
          <t>Could</t>
        </is>
      </c>
      <c r="E15" s="26" t="inlineStr">
        <is>
          <t>A.3</t>
        </is>
      </c>
      <c r="F15" s="26" t="inlineStr">
        <is>
          <t>livré</t>
        </is>
      </c>
    </row>
    <row r="16">
      <c r="A16" s="26" t="inlineStr">
        <is>
          <t>TMP</t>
        </is>
      </c>
      <c r="B16" s="27" t="inlineStr">
        <is>
          <t>TMP.5</t>
        </is>
      </c>
      <c r="C16" s="28" t="inlineStr">
        <is>
          <t>Period ou Duration</t>
        </is>
      </c>
      <c r="D16" s="30" t="inlineStr">
        <is>
          <t>Should</t>
        </is>
      </c>
      <c r="E16" s="26" t="inlineStr">
        <is>
          <t>A.3</t>
        </is>
      </c>
      <c r="F16" s="26" t="inlineStr">
        <is>
          <t>livré</t>
        </is>
      </c>
    </row>
    <row r="17">
      <c r="A17" s="26" t="inlineStr">
        <is>
          <t>TMP</t>
        </is>
      </c>
      <c r="B17" s="27" t="inlineStr">
        <is>
          <t>TMP.6</t>
        </is>
      </c>
      <c r="C17" s="28" t="inlineStr">
        <is>
          <t>Formater et analyser une date</t>
        </is>
      </c>
      <c r="D17" s="31" t="inlineStr">
        <is>
          <t>Could</t>
        </is>
      </c>
      <c r="E17" s="26" t="inlineStr">
        <is>
          <t>A.3</t>
        </is>
      </c>
      <c r="F17" s="26" t="inlineStr">
        <is>
          <t>livré</t>
        </is>
      </c>
    </row>
    <row r="18">
      <c r="A18" s="26" t="inlineStr">
        <is>
          <t>PKG</t>
        </is>
      </c>
      <c r="B18" s="27" t="inlineStr">
        <is>
          <t>PKG.1</t>
        </is>
      </c>
      <c r="C18" s="28" t="inlineStr">
        <is>
          <t>Ce que voit une classe du même package</t>
        </is>
      </c>
      <c r="D18" s="29" t="inlineStr">
        <is>
          <t>Must</t>
        </is>
      </c>
      <c r="E18" s="26" t="inlineStr">
        <is>
          <t>A.1</t>
        </is>
      </c>
      <c r="F18" s="26" t="inlineStr">
        <is>
          <t>livré</t>
        </is>
      </c>
    </row>
    <row r="19">
      <c r="A19" s="26" t="inlineStr">
        <is>
          <t>PKG</t>
        </is>
      </c>
      <c r="B19" s="27" t="inlineStr">
        <is>
          <t>PKG.2</t>
        </is>
      </c>
      <c r="C19" s="28" t="inlineStr">
        <is>
          <t>Ce que voit une classe d'un autre package</t>
        </is>
      </c>
      <c r="D19" s="29" t="inlineStr">
        <is>
          <t>Must</t>
        </is>
      </c>
      <c r="E19" s="26" t="inlineStr">
        <is>
          <t>C.1</t>
        </is>
      </c>
      <c r="F19" s="26" t="inlineStr">
        <is>
          <t>livré</t>
        </is>
      </c>
    </row>
    <row r="20">
      <c r="A20" s="26" t="inlineStr">
        <is>
          <t>PKG</t>
        </is>
      </c>
      <c r="B20" s="27" t="inlineStr">
        <is>
          <t>PKG.3</t>
        </is>
      </c>
      <c r="C20" s="28" t="inlineStr">
        <is>
          <t>Réduire la surface publique</t>
        </is>
      </c>
      <c r="D20" s="30" t="inlineStr">
        <is>
          <t>Should</t>
        </is>
      </c>
      <c r="E20" s="26" t="inlineStr">
        <is>
          <t>C.1</t>
        </is>
      </c>
      <c r="F20" s="26" t="inlineStr">
        <is>
          <t>livré</t>
        </is>
      </c>
    </row>
    <row r="21">
      <c r="A21" s="26" t="inlineStr">
        <is>
          <t>PKG</t>
        </is>
      </c>
      <c r="B21" s="27" t="inlineStr">
        <is>
          <t>PKG.4</t>
        </is>
      </c>
      <c r="C21" s="28" t="inlineStr">
        <is>
          <t>Découper un programme en packages</t>
        </is>
      </c>
      <c r="D21" s="31" t="inlineStr">
        <is>
          <t>Could</t>
        </is>
      </c>
      <c r="E21" s="26" t="inlineStr">
        <is>
          <t>C.1</t>
        </is>
      </c>
      <c r="F21" s="26" t="inlineStr">
        <is>
          <t>livré</t>
        </is>
      </c>
    </row>
    <row r="22">
      <c r="A22" s="26" t="inlineStr">
        <is>
          <t>PKG</t>
        </is>
      </c>
      <c r="B22" s="27" t="inlineStr">
        <is>
          <t>PKG.5</t>
        </is>
      </c>
      <c r="C22" s="28" t="inlineStr">
        <is>
          <t>protected, après l'héritage</t>
        </is>
      </c>
      <c r="D22" s="31" t="inlineStr">
        <is>
          <t>Could</t>
        </is>
      </c>
      <c r="E22" s="26" t="inlineStr">
        <is>
          <t>A.4</t>
        </is>
      </c>
      <c r="F22" s="26" t="inlineStr">
        <is>
          <t>livré</t>
        </is>
      </c>
    </row>
    <row r="23">
      <c r="A23" s="26" t="inlineStr">
        <is>
          <t>TAB</t>
        </is>
      </c>
      <c r="B23" s="27" t="inlineStr">
        <is>
          <t>TAB.1</t>
        </is>
      </c>
      <c r="C23" s="28" t="inlineStr">
        <is>
          <t>Une matrice carrée</t>
        </is>
      </c>
      <c r="D23" s="30" t="inlineStr">
        <is>
          <t>Should</t>
        </is>
      </c>
      <c r="E23" s="26" t="inlineStr">
        <is>
          <t>A.1</t>
        </is>
      </c>
      <c r="F23" s="26" t="inlineStr">
        <is>
          <t>livré</t>
        </is>
      </c>
    </row>
    <row r="24">
      <c r="A24" s="26" t="inlineStr">
        <is>
          <t>TAB</t>
        </is>
      </c>
      <c r="B24" s="27" t="inlineStr">
        <is>
          <t>TAB.2</t>
        </is>
      </c>
      <c r="C24" s="28" t="inlineStr">
        <is>
          <t>Le triangle de Pascal</t>
        </is>
      </c>
      <c r="D24" s="31" t="inlineStr">
        <is>
          <t>Could</t>
        </is>
      </c>
      <c r="E24" s="26" t="inlineStr">
        <is>
          <t>A.1</t>
        </is>
      </c>
      <c r="F24" s="26" t="inlineStr">
        <is>
          <t>livré</t>
        </is>
      </c>
    </row>
    <row r="25">
      <c r="A25" s="26" t="inlineStr">
        <is>
          <t>TAB</t>
        </is>
      </c>
      <c r="B25" s="27" t="inlineStr">
        <is>
          <t>TAB.3</t>
        </is>
      </c>
      <c r="C25" s="28" t="inlineStr">
        <is>
          <t>L'opérateur ternaire</t>
        </is>
      </c>
      <c r="D25" s="31" t="inlineStr">
        <is>
          <t>Could</t>
        </is>
      </c>
      <c r="E25" s="26" t="inlineStr">
        <is>
          <t>D.2</t>
        </is>
      </c>
      <c r="F25" s="26" t="inlineStr">
        <is>
          <t>livré</t>
        </is>
      </c>
    </row>
    <row r="26">
      <c r="A26" s="26" t="inlineStr">
        <is>
          <t>TAB</t>
        </is>
      </c>
      <c r="B26" s="27" t="inlineStr">
        <is>
          <t>TAB.4</t>
        </is>
      </c>
      <c r="C26" s="28" t="inlineStr">
        <is>
          <t>Des objets qui se connaissent</t>
        </is>
      </c>
      <c r="D26" s="29" t="inlineStr">
        <is>
          <t>Must</t>
        </is>
      </c>
      <c r="E26" s="26" t="inlineStr">
        <is>
          <t>C.1</t>
        </is>
      </c>
      <c r="F26" s="26" t="inlineStr">
        <is>
          <t>livré</t>
        </is>
      </c>
    </row>
    <row r="27">
      <c r="A27" s="26" t="inlineStr">
        <is>
          <t>ENU</t>
        </is>
      </c>
      <c r="B27" s="27" t="inlineStr">
        <is>
          <t>ENU.1</t>
        </is>
      </c>
      <c r="C27" s="28" t="inlineStr">
        <is>
          <t>Un feu de signalisation</t>
        </is>
      </c>
      <c r="D27" s="29" t="inlineStr">
        <is>
          <t>Must</t>
        </is>
      </c>
      <c r="E27" s="26" t="inlineStr">
        <is>
          <t>A.1</t>
        </is>
      </c>
      <c r="F27" s="26" t="inlineStr">
        <is>
          <t>livré</t>
        </is>
      </c>
    </row>
    <row r="28">
      <c r="A28" s="26" t="inlineStr">
        <is>
          <t>ENU</t>
        </is>
      </c>
      <c r="B28" s="27" t="inlineStr">
        <is>
          <t>ENU.2</t>
        </is>
      </c>
      <c r="C28" s="28" t="inlineStr">
        <is>
          <t>Une température, deux unités</t>
        </is>
      </c>
      <c r="D28" s="30" t="inlineStr">
        <is>
          <t>Should</t>
        </is>
      </c>
      <c r="E28" s="26" t="inlineStr">
        <is>
          <t>A.1</t>
        </is>
      </c>
      <c r="F28" s="26" t="inlineStr">
        <is>
          <t>livré</t>
        </is>
      </c>
    </row>
    <row r="29">
      <c r="A29" s="26" t="inlineStr">
        <is>
          <t>ENU</t>
        </is>
      </c>
      <c r="B29" s="27" t="inlineStr">
        <is>
          <t>ENU.3</t>
        </is>
      </c>
      <c r="C29" s="28" t="inlineStr">
        <is>
          <t>Un jeu de cartes</t>
        </is>
      </c>
      <c r="D29" s="30" t="inlineStr">
        <is>
          <t>Should</t>
        </is>
      </c>
      <c r="E29" s="26" t="inlineStr">
        <is>
          <t>A.1</t>
        </is>
      </c>
      <c r="F29" s="26" t="inlineStr">
        <is>
          <t>livré</t>
        </is>
      </c>
    </row>
    <row r="30">
      <c r="A30" s="26" t="inlineStr">
        <is>
          <t>ENU</t>
        </is>
      </c>
      <c r="B30" s="27" t="inlineStr">
        <is>
          <t>ENU.4</t>
        </is>
      </c>
      <c r="C30" s="28" t="inlineStr">
        <is>
          <t>Un record d'étudiant</t>
        </is>
      </c>
      <c r="D30" s="30" t="inlineStr">
        <is>
          <t>Should</t>
        </is>
      </c>
      <c r="E30" s="26" t="inlineStr">
        <is>
          <t>A.1</t>
        </is>
      </c>
      <c r="F30" s="26" t="inlineStr">
        <is>
          <t>livré</t>
        </is>
      </c>
    </row>
    <row r="31">
      <c r="A31" s="26" t="inlineStr">
        <is>
          <t>ABS</t>
        </is>
      </c>
      <c r="B31" s="27" t="inlineStr">
        <is>
          <t>ABS.1</t>
        </is>
      </c>
      <c r="C31" s="28" t="inlineStr">
        <is>
          <t>Des formes géométriques</t>
        </is>
      </c>
      <c r="D31" s="29" t="inlineStr">
        <is>
          <t>Must</t>
        </is>
      </c>
      <c r="E31" s="26" t="inlineStr">
        <is>
          <t>A.4</t>
        </is>
      </c>
      <c r="F31" s="26" t="inlineStr">
        <is>
          <t>livré</t>
        </is>
      </c>
    </row>
    <row r="32">
      <c r="A32" s="26" t="inlineStr">
        <is>
          <t>ABS</t>
        </is>
      </c>
      <c r="B32" s="27" t="inlineStr">
        <is>
          <t>ABS.2</t>
        </is>
      </c>
      <c r="C32" s="28" t="inlineStr">
        <is>
          <t>Des animaux qui font du bruit</t>
        </is>
      </c>
      <c r="D32" s="30" t="inlineStr">
        <is>
          <t>Should</t>
        </is>
      </c>
      <c r="E32" s="26" t="inlineStr">
        <is>
          <t>A.4</t>
        </is>
      </c>
      <c r="F32" s="26" t="inlineStr">
        <is>
          <t>livré</t>
        </is>
      </c>
    </row>
    <row r="33">
      <c r="A33" s="26" t="inlineStr">
        <is>
          <t>ABS</t>
        </is>
      </c>
      <c r="B33" s="27" t="inlineStr">
        <is>
          <t>ABS.3</t>
        </is>
      </c>
      <c r="C33" s="28" t="inlineStr">
        <is>
          <t>Deux banques, un seul traitement</t>
        </is>
      </c>
      <c r="D33" s="29" t="inlineStr">
        <is>
          <t>Must</t>
        </is>
      </c>
      <c r="E33" s="26" t="inlineStr">
        <is>
          <t>A.2</t>
        </is>
      </c>
      <c r="F33" s="26" t="inlineStr">
        <is>
          <t>livré</t>
        </is>
      </c>
    </row>
    <row r="34">
      <c r="A34" s="26" t="inlineStr">
        <is>
          <t>ABS</t>
        </is>
      </c>
      <c r="B34" s="27" t="inlineStr">
        <is>
          <t>ABS.4</t>
        </is>
      </c>
      <c r="C34" s="28" t="inlineStr">
        <is>
          <t>Hiérarchie Personnel (ancien exercice 21)</t>
        </is>
      </c>
      <c r="D34" s="30" t="inlineStr">
        <is>
          <t>Should</t>
        </is>
      </c>
      <c r="E34" s="26" t="inlineStr">
        <is>
          <t>A.4</t>
        </is>
      </c>
      <c r="F34" s="26" t="inlineStr">
        <is>
          <t>livré</t>
        </is>
      </c>
    </row>
    <row r="35">
      <c r="A35" s="26" t="inlineStr">
        <is>
          <t>ABS</t>
        </is>
      </c>
      <c r="B35" s="27" t="inlineStr">
        <is>
          <t>ABS.5</t>
        </is>
      </c>
      <c r="C35" s="28" t="inlineStr">
        <is>
          <t>Tout écrire, à partir de rien — sans squelette</t>
        </is>
      </c>
      <c r="D35" s="30" t="inlineStr">
        <is>
          <t>Should</t>
        </is>
      </c>
      <c r="E35" s="26" t="inlineStr">
        <is>
          <t>A.4</t>
        </is>
      </c>
      <c r="F35" s="26" t="inlineStr">
        <is>
          <t>livré</t>
        </is>
      </c>
    </row>
    <row r="36">
      <c r="A36" s="26" t="inlineStr">
        <is>
          <t>ITF</t>
        </is>
      </c>
      <c r="B36" s="27" t="inlineStr">
        <is>
          <t>ITF.1</t>
        </is>
      </c>
      <c r="C36" s="28" t="inlineStr">
        <is>
          <t>Une interface et deux implémentations</t>
        </is>
      </c>
      <c r="D36" s="29" t="inlineStr">
        <is>
          <t>Must</t>
        </is>
      </c>
      <c r="E36" s="26" t="inlineStr">
        <is>
          <t>A.1</t>
        </is>
      </c>
      <c r="F36" s="26" t="inlineStr">
        <is>
          <t>livré</t>
        </is>
      </c>
    </row>
    <row r="37">
      <c r="A37" s="26" t="inlineStr">
        <is>
          <t>ITF</t>
        </is>
      </c>
      <c r="B37" s="27" t="inlineStr">
        <is>
          <t>ITF.2</t>
        </is>
      </c>
      <c r="C37" s="28" t="inlineStr">
        <is>
          <t>Payer en ligne</t>
        </is>
      </c>
      <c r="D37" s="30" t="inlineStr">
        <is>
          <t>Should</t>
        </is>
      </c>
      <c r="E37" s="26" t="inlineStr">
        <is>
          <t>C.1</t>
        </is>
      </c>
      <c r="F37" s="26" t="inlineStr">
        <is>
          <t>livré</t>
        </is>
      </c>
    </row>
    <row r="38">
      <c r="A38" s="26" t="inlineStr">
        <is>
          <t>ITF</t>
        </is>
      </c>
      <c r="B38" s="27" t="inlineStr">
        <is>
          <t>ITF.3</t>
        </is>
      </c>
      <c r="C38" s="28" t="inlineStr">
        <is>
          <t>Des formes qui se déplacent et tournent</t>
        </is>
      </c>
      <c r="D38" s="30" t="inlineStr">
        <is>
          <t>Should</t>
        </is>
      </c>
      <c r="E38" s="26" t="inlineStr">
        <is>
          <t>A.4</t>
        </is>
      </c>
      <c r="F38" s="26" t="inlineStr">
        <is>
          <t>livré</t>
        </is>
      </c>
    </row>
    <row r="39">
      <c r="A39" s="26" t="inlineStr">
        <is>
          <t>ITF</t>
        </is>
      </c>
      <c r="B39" s="27" t="inlineStr">
        <is>
          <t>ITF.4</t>
        </is>
      </c>
      <c r="C39" s="28" t="inlineStr">
        <is>
          <t>Prévenir sans connaître (Observateur)</t>
        </is>
      </c>
      <c r="D39" s="31" t="inlineStr">
        <is>
          <t>Could</t>
        </is>
      </c>
      <c r="E39" s="26" t="inlineStr">
        <is>
          <t>C.1</t>
        </is>
      </c>
      <c r="F39" s="26" t="inlineStr">
        <is>
          <t>livré</t>
        </is>
      </c>
    </row>
    <row r="40">
      <c r="A40" s="26" t="inlineStr">
        <is>
          <t>COL</t>
        </is>
      </c>
      <c r="B40" s="27" t="inlineStr">
        <is>
          <t>COL.1</t>
        </is>
      </c>
      <c r="C40" s="28" t="inlineStr">
        <is>
          <t>Deux façons d'être trié</t>
        </is>
      </c>
      <c r="D40" s="29" t="inlineStr">
        <is>
          <t>Must</t>
        </is>
      </c>
      <c r="E40" s="26" t="inlineStr">
        <is>
          <t>A.3</t>
        </is>
      </c>
      <c r="F40" s="26" t="inlineStr">
        <is>
          <t>livré</t>
        </is>
      </c>
    </row>
    <row r="41">
      <c r="A41" s="26" t="inlineStr">
        <is>
          <t>COL</t>
        </is>
      </c>
      <c r="B41" s="27" t="inlineStr">
        <is>
          <t>COL.2</t>
        </is>
      </c>
      <c r="C41" s="28" t="inlineStr">
        <is>
          <t>Un annuaire</t>
        </is>
      </c>
      <c r="D41" s="29" t="inlineStr">
        <is>
          <t>Must</t>
        </is>
      </c>
      <c r="E41" s="26" t="inlineStr">
        <is>
          <t>A.3</t>
        </is>
      </c>
      <c r="F41" s="26" t="inlineStr">
        <is>
          <t>livré</t>
        </is>
      </c>
    </row>
    <row r="42">
      <c r="A42" s="26" t="inlineStr">
        <is>
          <t>COL</t>
        </is>
      </c>
      <c r="B42" s="27" t="inlineStr">
        <is>
          <t>COL.3</t>
        </is>
      </c>
      <c r="C42" s="28" t="inlineStr">
        <is>
          <t>Lire des noms et les trier</t>
        </is>
      </c>
      <c r="D42" s="30" t="inlineStr">
        <is>
          <t>Should</t>
        </is>
      </c>
      <c r="E42" s="26" t="inlineStr">
        <is>
          <t>A.3</t>
        </is>
      </c>
      <c r="F42" s="26" t="inlineStr">
        <is>
          <t>livré</t>
        </is>
      </c>
    </row>
    <row r="43">
      <c r="A43" s="26" t="inlineStr">
        <is>
          <t>COL</t>
        </is>
      </c>
      <c r="B43" s="27" t="inlineStr">
        <is>
          <t>COL.4</t>
        </is>
      </c>
      <c r="C43" s="28" t="inlineStr">
        <is>
          <t>Compter les mots d'un texte</t>
        </is>
      </c>
      <c r="D43" s="29" t="inlineStr">
        <is>
          <t>Must</t>
        </is>
      </c>
      <c r="E43" s="26" t="inlineStr">
        <is>
          <t>A.3</t>
        </is>
      </c>
      <c r="F43" s="26" t="inlineStr">
        <is>
          <t>livré</t>
        </is>
      </c>
    </row>
    <row r="44">
      <c r="A44" s="26" t="inlineStr">
        <is>
          <t>COL</t>
        </is>
      </c>
      <c r="B44" s="27" t="inlineStr">
        <is>
          <t>COL.5</t>
        </is>
      </c>
      <c r="C44" s="28" t="inlineStr">
        <is>
          <t>Filtrer avec un prédicat</t>
        </is>
      </c>
      <c r="D44" s="30" t="inlineStr">
        <is>
          <t>Should</t>
        </is>
      </c>
      <c r="E44" s="26" t="inlineStr">
        <is>
          <t>A.6</t>
        </is>
      </c>
      <c r="F44" s="26" t="inlineStr">
        <is>
          <t>livré</t>
        </is>
      </c>
    </row>
    <row r="45">
      <c r="A45" s="26" t="inlineStr">
        <is>
          <t>COL</t>
        </is>
      </c>
      <c r="B45" s="27" t="inlineStr">
        <is>
          <t>COL.6</t>
        </is>
      </c>
      <c r="C45" s="28" t="inlineStr">
        <is>
          <t>Un ensemble sans doublons</t>
        </is>
      </c>
      <c r="D45" s="30" t="inlineStr">
        <is>
          <t>Should</t>
        </is>
      </c>
      <c r="E45" s="26" t="inlineStr">
        <is>
          <t>A.3</t>
        </is>
      </c>
      <c r="F45" s="26" t="inlineStr">
        <is>
          <t>livré</t>
        </is>
      </c>
    </row>
    <row r="46">
      <c r="A46" s="26" t="inlineStr">
        <is>
          <t>COL</t>
        </is>
      </c>
      <c r="B46" s="27" t="inlineStr">
        <is>
          <t>COL.7</t>
        </is>
      </c>
      <c r="C46" s="28" t="inlineStr">
        <is>
          <t>Une table de collections</t>
        </is>
      </c>
      <c r="D46" s="31" t="inlineStr">
        <is>
          <t>Could</t>
        </is>
      </c>
      <c r="E46" s="26" t="inlineStr">
        <is>
          <t>C.1</t>
        </is>
      </c>
      <c r="F46" s="26" t="inlineStr">
        <is>
          <t>livré</t>
        </is>
      </c>
    </row>
    <row r="47">
      <c r="A47" s="26" t="inlineStr">
        <is>
          <t>EXC</t>
        </is>
      </c>
      <c r="B47" s="27" t="inlineStr">
        <is>
          <t>EXC.1</t>
        </is>
      </c>
      <c r="C47" s="28" t="inlineStr">
        <is>
          <t>Lever sa propre exception</t>
        </is>
      </c>
      <c r="D47" s="29" t="inlineStr">
        <is>
          <t>Must</t>
        </is>
      </c>
      <c r="E47" s="26" t="inlineStr">
        <is>
          <t>A.1</t>
        </is>
      </c>
      <c r="F47" s="26" t="inlineStr">
        <is>
          <t>livré</t>
        </is>
      </c>
    </row>
    <row r="48">
      <c r="A48" s="26" t="inlineStr">
        <is>
          <t>EXC</t>
        </is>
      </c>
      <c r="B48" s="27" t="inlineStr">
        <is>
          <t>EXC.2</t>
        </is>
      </c>
      <c r="C48" s="28" t="inlineStr">
        <is>
          <t>Un compte, sans exception</t>
        </is>
      </c>
      <c r="D48" s="30" t="inlineStr">
        <is>
          <t>Should</t>
        </is>
      </c>
      <c r="E48" s="26" t="inlineStr">
        <is>
          <t>A.1</t>
        </is>
      </c>
      <c r="F48" s="26" t="inlineStr">
        <is>
          <t>livré</t>
        </is>
      </c>
    </row>
    <row r="49">
      <c r="A49" s="26" t="inlineStr">
        <is>
          <t>EXC</t>
        </is>
      </c>
      <c r="B49" s="27" t="inlineStr">
        <is>
          <t>EXC.3</t>
        </is>
      </c>
      <c r="C49" s="28" t="inlineStr">
        <is>
          <t>Un numéro de compte vérifié</t>
        </is>
      </c>
      <c r="D49" s="29" t="inlineStr">
        <is>
          <t>Must</t>
        </is>
      </c>
      <c r="E49" s="26" t="inlineStr">
        <is>
          <t>C.1</t>
        </is>
      </c>
      <c r="F49" s="26" t="inlineStr">
        <is>
          <t>livré</t>
        </is>
      </c>
    </row>
    <row r="50">
      <c r="A50" s="26" t="inlineStr">
        <is>
          <t>EXC</t>
        </is>
      </c>
      <c r="B50" s="27" t="inlineStr">
        <is>
          <t>EXC.4</t>
        </is>
      </c>
      <c r="C50" s="28" t="inlineStr">
        <is>
          <t>Provoquer, puis traiter</t>
        </is>
      </c>
      <c r="D50" s="29" t="inlineStr">
        <is>
          <t>Must</t>
        </is>
      </c>
      <c r="E50" s="26" t="inlineStr">
        <is>
          <t>A.3</t>
        </is>
      </c>
      <c r="F50" s="26" t="inlineStr">
        <is>
          <t>livré</t>
        </is>
      </c>
    </row>
    <row r="51">
      <c r="A51" s="26" t="inlineStr">
        <is>
          <t>EXC</t>
        </is>
      </c>
      <c r="B51" s="27" t="inlineStr">
        <is>
          <t>EXC.5</t>
        </is>
      </c>
      <c r="C51" s="28" t="inlineStr">
        <is>
          <t>Lire une trace</t>
        </is>
      </c>
      <c r="D51" s="30" t="inlineStr">
        <is>
          <t>Should</t>
        </is>
      </c>
      <c r="E51" s="26" t="inlineStr">
        <is>
          <t>B.3</t>
        </is>
      </c>
      <c r="F51" s="26" t="inlineStr">
        <is>
          <t>livré</t>
        </is>
      </c>
    </row>
    <row r="52">
      <c r="A52" s="26" t="inlineStr">
        <is>
          <t>JUN</t>
        </is>
      </c>
      <c r="B52" s="27" t="inlineStr">
        <is>
          <t>JUN.1</t>
        </is>
      </c>
      <c r="C52" s="28" t="inlineStr">
        <is>
          <t>Le test comme spécification</t>
        </is>
      </c>
      <c r="D52" s="29" t="inlineStr">
        <is>
          <t>Must</t>
        </is>
      </c>
      <c r="E52" s="26" t="inlineStr">
        <is>
          <t>B.3</t>
        </is>
      </c>
      <c r="F52" s="26" t="inlineStr">
        <is>
          <t>livré</t>
        </is>
      </c>
    </row>
    <row r="53">
      <c r="A53" s="26" t="inlineStr">
        <is>
          <t>JUN</t>
        </is>
      </c>
      <c r="B53" s="27" t="inlineStr">
        <is>
          <t>JUN.2</t>
        </is>
      </c>
      <c r="C53" s="28" t="inlineStr">
        <is>
          <t>Détecter un défaut</t>
        </is>
      </c>
      <c r="D53" s="29" t="inlineStr">
        <is>
          <t>Must</t>
        </is>
      </c>
      <c r="E53" s="26" t="inlineStr">
        <is>
          <t>B.1</t>
        </is>
      </c>
      <c r="F53" s="26" t="inlineStr">
        <is>
          <t>livré</t>
        </is>
      </c>
    </row>
    <row r="54">
      <c r="A54" s="26" t="inlineStr">
        <is>
          <t>JUN</t>
        </is>
      </c>
      <c r="B54" s="27" t="inlineStr">
        <is>
          <t>JUN.3</t>
        </is>
      </c>
      <c r="C54" s="28" t="inlineStr">
        <is>
          <t>Écrire une classe de test</t>
        </is>
      </c>
      <c r="D54" s="29" t="inlineStr">
        <is>
          <t>Must</t>
        </is>
      </c>
      <c r="E54" s="26" t="inlineStr">
        <is>
          <t>B.2</t>
        </is>
      </c>
      <c r="F54" s="26" t="inlineStr">
        <is>
          <t>livré</t>
        </is>
      </c>
    </row>
    <row r="55">
      <c r="A55" s="26" t="inlineStr">
        <is>
          <t>GEN</t>
        </is>
      </c>
      <c r="B55" s="27" t="inlineStr">
        <is>
          <t>GEN.1</t>
        </is>
      </c>
      <c r="C55" s="28" t="inlineStr">
        <is>
          <t>Une paire, un seul type</t>
        </is>
      </c>
      <c r="D55" s="29" t="inlineStr">
        <is>
          <t>Must</t>
        </is>
      </c>
      <c r="E55" s="26" t="inlineStr">
        <is>
          <t>A.1</t>
        </is>
      </c>
      <c r="F55" s="26" t="inlineStr">
        <is>
          <t>livré</t>
        </is>
      </c>
    </row>
    <row r="56">
      <c r="A56" s="26" t="inlineStr">
        <is>
          <t>GEN</t>
        </is>
      </c>
      <c r="B56" s="27" t="inlineStr">
        <is>
          <t>GEN.2</t>
        </is>
      </c>
      <c r="C56" s="28" t="inlineStr">
        <is>
          <t>Un couple, deux types</t>
        </is>
      </c>
      <c r="D56" s="30" t="inlineStr">
        <is>
          <t>Should</t>
        </is>
      </c>
      <c r="E56" s="26" t="inlineStr">
        <is>
          <t>A.1</t>
        </is>
      </c>
      <c r="F56" s="26" t="inlineStr">
        <is>
          <t>livré</t>
        </is>
      </c>
    </row>
    <row r="57">
      <c r="A57" s="26" t="inlineStr">
        <is>
          <t>GEN</t>
        </is>
      </c>
      <c r="B57" s="27" t="inlineStr">
        <is>
          <t>GEN.3</t>
        </is>
      </c>
      <c r="C57" s="28" t="inlineStr">
        <is>
          <t>Deux sortes de triplets</t>
        </is>
      </c>
      <c r="D57" s="31" t="inlineStr">
        <is>
          <t>Could</t>
        </is>
      </c>
      <c r="E57" s="26" t="inlineStr">
        <is>
          <t>A.1</t>
        </is>
      </c>
      <c r="F57" s="26" t="inlineStr">
        <is>
          <t>livré</t>
        </is>
      </c>
    </row>
    <row r="58">
      <c r="A58" s="26" t="inlineStr">
        <is>
          <t>GEN</t>
        </is>
      </c>
      <c r="B58" s="27" t="inlineStr">
        <is>
          <t>GEN.4</t>
        </is>
      </c>
      <c r="C58" s="28" t="inlineStr">
        <is>
          <t>Le joker</t>
        </is>
      </c>
      <c r="D58" s="31" t="inlineStr">
        <is>
          <t>Could</t>
        </is>
      </c>
      <c r="E58" s="26" t="inlineStr">
        <is>
          <t>A.4</t>
        </is>
      </c>
      <c r="F58" s="26" t="inlineStr">
        <is>
          <t>livré</t>
        </is>
      </c>
    </row>
    <row r="59">
      <c r="A59" s="26" t="inlineStr">
        <is>
          <t>GEN</t>
        </is>
      </c>
      <c r="B59" s="27" t="inlineStr">
        <is>
          <t>GEN.5</t>
        </is>
      </c>
      <c r="C59" s="28" t="inlineStr">
        <is>
          <t>Une méthode générique</t>
        </is>
      </c>
      <c r="D59" s="30" t="inlineStr">
        <is>
          <t>Should</t>
        </is>
      </c>
      <c r="E59" s="26" t="inlineStr">
        <is>
          <t>A.1</t>
        </is>
      </c>
      <c r="F59" s="26" t="inlineStr">
        <is>
          <t>livré</t>
        </is>
      </c>
    </row>
    <row r="60">
      <c r="A60" s="26" t="inlineStr">
        <is>
          <t>GEN</t>
        </is>
      </c>
      <c r="B60" s="27" t="inlineStr">
        <is>
          <t>GEN.6</t>
        </is>
      </c>
      <c r="C60" s="28" t="inlineStr">
        <is>
          <t>Hériter d'une classe générique</t>
        </is>
      </c>
      <c r="D60" s="31" t="inlineStr">
        <is>
          <t>Could</t>
        </is>
      </c>
      <c r="E60" s="26" t="inlineStr">
        <is>
          <t>A.4</t>
        </is>
      </c>
      <c r="F60" s="26" t="inlineStr">
        <is>
          <t>livré</t>
        </is>
      </c>
    </row>
    <row r="61">
      <c r="A61" s="26" t="inlineStr">
        <is>
          <t>LAM</t>
        </is>
      </c>
      <c r="B61" s="27" t="inlineStr">
        <is>
          <t>LAM.1</t>
        </is>
      </c>
      <c r="C61" s="28" t="inlineStr">
        <is>
          <t>Un tableau de comportements</t>
        </is>
      </c>
      <c r="D61" s="29" t="inlineStr">
        <is>
          <t>Must</t>
        </is>
      </c>
      <c r="E61" s="26" t="inlineStr">
        <is>
          <t>A.6</t>
        </is>
      </c>
      <c r="F61" s="26" t="inlineStr">
        <is>
          <t>livré</t>
        </is>
      </c>
    </row>
    <row r="62">
      <c r="A62" s="26" t="inlineStr">
        <is>
          <t>LAM</t>
        </is>
      </c>
      <c r="B62" s="27" t="inlineStr">
        <is>
          <t>LAM.2</t>
        </is>
      </c>
      <c r="C62" s="28" t="inlineStr">
        <is>
          <t>Écrire son interface fonctionnelle</t>
        </is>
      </c>
      <c r="D62" s="29" t="inlineStr">
        <is>
          <t>Must</t>
        </is>
      </c>
      <c r="E62" s="26" t="inlineStr">
        <is>
          <t>A.6</t>
        </is>
      </c>
      <c r="F62" s="26" t="inlineStr">
        <is>
          <t>livré</t>
        </is>
      </c>
    </row>
    <row r="63">
      <c r="A63" s="26" t="inlineStr">
        <is>
          <t>LAM</t>
        </is>
      </c>
      <c r="B63" s="27" t="inlineStr">
        <is>
          <t>LAM.3</t>
        </is>
      </c>
      <c r="C63" s="28" t="inlineStr">
        <is>
          <t>Celle du JDK, et les références de méthodes</t>
        </is>
      </c>
      <c r="D63" s="29" t="inlineStr">
        <is>
          <t>Must</t>
        </is>
      </c>
      <c r="E63" s="26" t="inlineStr">
        <is>
          <t>A.6</t>
        </is>
      </c>
      <c r="F63" s="26" t="inlineStr">
        <is>
          <t>livré</t>
        </is>
      </c>
    </row>
    <row r="64">
      <c r="A64" s="26" t="inlineStr">
        <is>
          <t>FX</t>
        </is>
      </c>
      <c r="B64" s="27" t="inlineStr">
        <is>
          <t>FX.1</t>
        </is>
      </c>
      <c r="C64" s="28" t="inlineStr">
        <is>
          <t>Un compteur de participants (ex. 47)</t>
        </is>
      </c>
      <c r="D64" s="29" t="inlineStr">
        <is>
          <t>Must</t>
        </is>
      </c>
      <c r="E64" s="26" t="inlineStr">
        <is>
          <t>A.5</t>
        </is>
      </c>
      <c r="F64" s="26" t="inlineStr">
        <is>
          <t>livré</t>
        </is>
      </c>
    </row>
    <row r="65">
      <c r="A65" s="26" t="inlineStr">
        <is>
          <t>FX</t>
        </is>
      </c>
      <c r="B65" s="27" t="inlineStr">
        <is>
          <t>FX.2</t>
        </is>
      </c>
      <c r="C65" s="28" t="inlineStr">
        <is>
          <t>Un bouton Reset (ex. 48)</t>
        </is>
      </c>
      <c r="D65" s="29" t="inlineStr">
        <is>
          <t>Must</t>
        </is>
      </c>
      <c r="E65" s="26" t="inlineStr">
        <is>
          <t>A.5</t>
        </is>
      </c>
      <c r="F65" s="26" t="inlineStr">
        <is>
          <t>livré</t>
        </is>
      </c>
    </row>
    <row r="66">
      <c r="A66" s="26" t="inlineStr">
        <is>
          <t>FX</t>
        </is>
      </c>
      <c r="B66" s="27" t="inlineStr">
        <is>
          <t>FX.3</t>
        </is>
      </c>
      <c r="C66" s="28" t="inlineStr">
        <is>
          <t>Deux compteurs et une mise en page (ex. 49)</t>
        </is>
      </c>
      <c r="D66" s="30" t="inlineStr">
        <is>
          <t>Should</t>
        </is>
      </c>
      <c r="E66" s="26" t="inlineStr">
        <is>
          <t>A.5</t>
        </is>
      </c>
      <c r="F66" s="26" t="inlineStr">
        <is>
          <t>livré</t>
        </is>
      </c>
    </row>
    <row r="67">
      <c r="A67" s="26" t="inlineStr">
        <is>
          <t>FX</t>
        </is>
      </c>
      <c r="B67" s="27" t="inlineStr">
        <is>
          <t>FX.4</t>
        </is>
      </c>
      <c r="C67" s="28" t="inlineStr">
        <is>
          <t>Compter au clavier, touches 1, 2 et 0 (ex. 50)</t>
        </is>
      </c>
      <c r="D67" s="29" t="inlineStr">
        <is>
          <t>Must</t>
        </is>
      </c>
      <c r="E67" s="26" t="inlineStr">
        <is>
          <t>A.5</t>
        </is>
      </c>
      <c r="F67" s="26" t="inlineStr">
        <is>
          <t>livré</t>
        </is>
      </c>
    </row>
    <row r="68">
      <c r="A68" s="26" t="inlineStr">
        <is>
          <t>FX</t>
        </is>
      </c>
      <c r="B68" s="27" t="inlineStr">
        <is>
          <t>FX.5</t>
        </is>
      </c>
      <c r="C68" s="28" t="inlineStr">
        <is>
          <t>Filtre, gestionnaires et consume (ex. 46)</t>
        </is>
      </c>
      <c r="D68" s="30" t="inlineStr">
        <is>
          <t>Should</t>
        </is>
      </c>
      <c r="E68" s="26" t="inlineStr">
        <is>
          <t>A.5</t>
        </is>
      </c>
      <c r="F68" s="26" t="inlineStr">
        <is>
          <t>livré</t>
        </is>
      </c>
    </row>
    <row r="69">
      <c r="A69" s="26" t="inlineStr">
        <is>
          <t>FX</t>
        </is>
      </c>
      <c r="B69" s="27" t="inlineStr">
        <is>
          <t>FX.6</t>
        </is>
      </c>
      <c r="C69" s="28" t="inlineStr">
        <is>
          <t>Écouter la propriété d'un TextField (ex. 51)</t>
        </is>
      </c>
      <c r="D69" s="30" t="inlineStr">
        <is>
          <t>Should</t>
        </is>
      </c>
      <c r="E69" s="26" t="inlineStr">
        <is>
          <t>A.5</t>
        </is>
      </c>
      <c r="F69" s="26" t="inlineStr">
        <is>
          <t>livré</t>
        </is>
      </c>
    </row>
    <row r="70">
      <c r="A70" s="26" t="inlineStr">
        <is>
          <t>FX</t>
        </is>
      </c>
      <c r="B70" s="27" t="inlineStr">
        <is>
          <t>FX.7</t>
        </is>
      </c>
      <c r="C70" s="28" t="inlineStr">
        <is>
          <t>Un Slider et un Label qui suit (ex. 52)</t>
        </is>
      </c>
      <c r="D70" s="31" t="inlineStr">
        <is>
          <t>Could</t>
        </is>
      </c>
      <c r="E70" s="26" t="inlineStr">
        <is>
          <t>A.5</t>
        </is>
      </c>
      <c r="F70" s="26" t="inlineStr">
        <is>
          <t>livré</t>
        </is>
      </c>
    </row>
    <row r="71">
      <c r="A71" s="26" t="inlineStr">
        <is>
          <t>FX</t>
        </is>
      </c>
      <c r="B71" s="27" t="inlineStr">
        <is>
          <t>FX.8</t>
        </is>
      </c>
      <c r="C71" s="28" t="inlineStr">
        <is>
          <t>Lier plutôt qu'écouter : bindings</t>
        </is>
      </c>
      <c r="D71" s="31" t="inlineStr">
        <is>
          <t>Could</t>
        </is>
      </c>
      <c r="E71" s="26" t="inlineStr">
        <is>
          <t>A.5</t>
        </is>
      </c>
      <c r="F71" s="26" t="inlineStr">
        <is>
          <t>livré</t>
        </is>
      </c>
    </row>
    <row r="72">
      <c r="A72" s="26" t="inlineStr">
        <is>
          <t>FX</t>
        </is>
      </c>
      <c r="B72" s="27" t="inlineStr">
        <is>
          <t>FX.9</t>
        </is>
      </c>
      <c r="C72" s="28" t="inlineStr">
        <is>
          <t>Une calculatrice, en MVC et FXML</t>
        </is>
      </c>
      <c r="D72" s="30" t="inlineStr">
        <is>
          <t>Should</t>
        </is>
      </c>
      <c r="E72" s="26" t="inlineStr">
        <is>
          <t>A.5</t>
        </is>
      </c>
      <c r="F72" s="26" t="inlineStr">
        <is>
          <t>livré</t>
        </is>
      </c>
    </row>
    <row r="73">
      <c r="A73" s="26" t="inlineStr">
        <is>
          <t>FX</t>
        </is>
      </c>
      <c r="B73" s="27" t="inlineStr">
        <is>
          <t>FX.10</t>
        </is>
      </c>
      <c r="C73" s="28" t="inlineStr">
        <is>
          <t>Le guichet : threads et Platform.runLater</t>
        </is>
      </c>
      <c r="D73" s="31" t="inlineStr">
        <is>
          <t>Won't</t>
        </is>
      </c>
      <c r="E73" s="26" t="inlineStr">
        <is>
          <t>A.5</t>
        </is>
      </c>
      <c r="F73" s="32" t="inlineStr">
        <is>
          <t>hors examen</t>
        </is>
      </c>
    </row>
    <row r="74">
      <c r="A74" s="26" t="inlineStr">
        <is>
          <t>FIC</t>
        </is>
      </c>
      <c r="B74" s="27" t="inlineStr">
        <is>
          <t>FIC.1</t>
        </is>
      </c>
      <c r="C74" s="28" t="inlineStr">
        <is>
          <t>Trois classes qui se connaissent</t>
        </is>
      </c>
      <c r="D74" s="30" t="inlineStr">
        <is>
          <t>Should</t>
        </is>
      </c>
      <c r="E74" s="26" t="inlineStr">
        <is>
          <t>A.1</t>
        </is>
      </c>
      <c r="F74" s="26" t="inlineStr">
        <is>
          <t>livré</t>
        </is>
      </c>
    </row>
    <row r="75">
      <c r="A75" s="26" t="inlineStr">
        <is>
          <t>FIC</t>
        </is>
      </c>
      <c r="B75" s="27" t="inlineStr">
        <is>
          <t>FIC.2</t>
        </is>
      </c>
      <c r="C75" s="28" t="inlineStr">
        <is>
          <t>Enregistrer des objets</t>
        </is>
      </c>
      <c r="D75" s="29" t="inlineStr">
        <is>
          <t>Must</t>
        </is>
      </c>
      <c r="E75" s="26" t="inlineStr">
        <is>
          <t>A.5</t>
        </is>
      </c>
      <c r="F75" s="26" t="inlineStr">
        <is>
          <t>livré</t>
        </is>
      </c>
    </row>
    <row r="76">
      <c r="A76" s="26" t="inlineStr">
        <is>
          <t>FIC</t>
        </is>
      </c>
      <c r="B76" s="27" t="inlineStr">
        <is>
          <t>FIC.3</t>
        </is>
      </c>
      <c r="C76" s="28" t="inlineStr">
        <is>
          <t>Enregistrer du texte</t>
        </is>
      </c>
      <c r="D76" s="30" t="inlineStr">
        <is>
          <t>Should</t>
        </is>
      </c>
      <c r="E76" s="26" t="inlineStr">
        <is>
          <t>A.5</t>
        </is>
      </c>
      <c r="F76" s="26" t="inlineStr">
        <is>
          <t>livré</t>
        </is>
      </c>
    </row>
    <row r="77">
      <c r="A77" s="26" t="inlineStr">
        <is>
          <t>REC</t>
        </is>
      </c>
      <c r="B77" s="27" t="inlineStr">
        <is>
          <t>REC.*</t>
        </is>
      </c>
      <c r="C77" s="28" t="inlineStr">
        <is>
          <t>Récapitulatifs — format et place à décider</t>
        </is>
      </c>
      <c r="D77" s="31" t="inlineStr">
        <is>
          <t>Could</t>
        </is>
      </c>
      <c r="E77" s="26" t="inlineStr">
        <is>
          <t>A.1</t>
        </is>
      </c>
      <c r="F77" s="32" t="inlineStr">
        <is>
          <t>en attente</t>
        </is>
      </c>
    </row>
    <row r="78">
      <c r="A78" s="26" t="inlineStr">
        <is>
          <t>GAM</t>
        </is>
      </c>
      <c r="B78" s="27" t="inlineStr">
        <is>
          <t>G.1–G.9</t>
        </is>
      </c>
      <c r="C78" s="28" t="inlineStr">
        <is>
          <t>Le modèle : joueur, partie, énumérations, record</t>
        </is>
      </c>
      <c r="D78" s="30" t="inlineStr">
        <is>
          <t>Should</t>
        </is>
      </c>
      <c r="E78" s="26" t="inlineStr">
        <is>
          <t>A.1</t>
        </is>
      </c>
      <c r="F78" s="32" t="inlineStr">
        <is>
          <t>corrigé</t>
        </is>
      </c>
    </row>
    <row r="79">
      <c r="A79" s="26" t="inlineStr">
        <is>
          <t>GAM</t>
        </is>
      </c>
      <c r="B79" s="27" t="inlineStr">
        <is>
          <t>G.10–G.13</t>
        </is>
      </c>
      <c r="C79" s="28" t="inlineStr">
        <is>
          <t>Classe abstraite et patron Observateur</t>
        </is>
      </c>
      <c r="D79" s="30" t="inlineStr">
        <is>
          <t>Should</t>
        </is>
      </c>
      <c r="E79" s="26" t="inlineStr">
        <is>
          <t>A.4</t>
        </is>
      </c>
      <c r="F79" s="32" t="inlineStr">
        <is>
          <t>corrigé</t>
        </is>
      </c>
    </row>
    <row r="80">
      <c r="A80" s="26" t="inlineStr">
        <is>
          <t>GAM</t>
        </is>
      </c>
      <c r="B80" s="27" t="inlineStr">
        <is>
          <t>G.14–G.20</t>
        </is>
      </c>
      <c r="C80" s="28" t="inlineStr">
        <is>
          <t>Interface Jeu, fabrique, Nim, stratégies</t>
        </is>
      </c>
      <c r="D80" s="29" t="inlineStr">
        <is>
          <t>Must</t>
        </is>
      </c>
      <c r="E80" s="26" t="inlineStr">
        <is>
          <t>C.1</t>
        </is>
      </c>
      <c r="F80" s="32" t="inlineStr">
        <is>
          <t>corrigé</t>
        </is>
      </c>
    </row>
    <row r="81">
      <c r="A81" s="26" t="inlineStr">
        <is>
          <t>GAM</t>
        </is>
      </c>
      <c r="B81" s="27" t="inlineStr">
        <is>
          <t>G.21–G.27</t>
        </is>
      </c>
      <c r="C81" s="28" t="inlineStr">
        <is>
          <t>Le jeu de bataille</t>
        </is>
      </c>
      <c r="D81" s="31" t="inlineStr">
        <is>
          <t>Could</t>
        </is>
      </c>
      <c r="E81" s="26" t="inlineStr">
        <is>
          <t>A.3</t>
        </is>
      </c>
      <c r="F81" s="32" t="inlineStr">
        <is>
          <t>corrigé</t>
        </is>
      </c>
    </row>
    <row r="82">
      <c r="A82" s="26" t="inlineStr">
        <is>
          <t>GAM</t>
        </is>
      </c>
      <c r="B82" s="27" t="inlineStr">
        <is>
          <t>G.21</t>
        </is>
      </c>
      <c r="C82" s="28" t="inlineStr">
        <is>
          <t>Un jeu qui se joue seul</t>
        </is>
      </c>
      <c r="D82" s="30" t="inlineStr">
        <is>
          <t>Should</t>
        </is>
      </c>
      <c r="E82" s="26" t="inlineStr">
        <is>
          <t>C.1</t>
        </is>
      </c>
      <c r="F82" s="32" t="inlineStr">
        <is>
          <t>corrigé</t>
        </is>
      </c>
    </row>
    <row r="83">
      <c r="A83" s="26" t="inlineStr">
        <is>
          <t>GAM</t>
        </is>
      </c>
      <c r="B83" s="27" t="inlineStr">
        <is>
          <t>G.22</t>
        </is>
      </c>
      <c r="C83" s="28" t="inlineStr">
        <is>
          <t>Un jeu qui ouvre une fenêtre</t>
        </is>
      </c>
      <c r="D83" s="31" t="inlineStr">
        <is>
          <t>Could</t>
        </is>
      </c>
      <c r="E83" s="26" t="inlineStr">
        <is>
          <t>A.5</t>
        </is>
      </c>
      <c r="F83" s="32" t="inlineStr">
        <is>
          <t>corrigé</t>
        </is>
      </c>
    </row>
    <row r="85">
      <c r="A85" s="10" t="inlineStr">
        <is>
          <t>Combien d'exercices selon le scénario</t>
        </is>
      </c>
    </row>
    <row r="87">
      <c r="A87" s="33" t="inlineStr">
        <is>
          <t>Must seuls</t>
        </is>
      </c>
      <c r="B87" s="18">
        <f>COUNTIF($D$5:$D$83,"Must")</f>
        <v/>
      </c>
    </row>
    <row r="88">
      <c r="A88" s="33" t="inlineStr">
        <is>
          <t>Must + Should</t>
        </is>
      </c>
      <c r="B88" s="18">
        <f>COUNTIF($D$5:$D$83,"Must")+COUNTIF($D$5:$D$83,"Should")</f>
        <v/>
      </c>
    </row>
    <row r="89">
      <c r="A89" s="33" t="inlineStr">
        <is>
          <t>Tout sauf les Won't</t>
        </is>
      </c>
      <c r="B89" s="18">
        <f>COUNTA($D$5:$D$83)-COUNTIF($D$5:$D$83,"Won't")</f>
        <v/>
      </c>
    </row>
    <row r="90">
      <c r="A90" s="33" t="inlineStr">
        <is>
          <t>Déjà livrés</t>
        </is>
      </c>
      <c r="B90" s="18">
        <f>COUNTIF($F$5:$F$83,"livré")</f>
        <v/>
      </c>
    </row>
    <row r="91">
      <c r="A91" s="33" t="inlineStr">
        <is>
          <t>Restant à écrire</t>
        </is>
      </c>
      <c r="B91" s="18">
        <f>COUNTIF($F$5:$F$83,"à écrire")</f>
        <v/>
      </c>
    </row>
    <row r="93">
      <c r="A93" s="25" t="inlineStr">
        <is>
          <t>REC compte pour une seule ligne : son format n'est pas arrêté.</t>
        </is>
      </c>
    </row>
  </sheetData>
  <autoFilter ref="A4:F83"/>
  <mergeCells count="2">
    <mergeCell ref="A2:F2"/>
    <mergeCell ref="A1:F1"/>
  </mergeCells>
  <dataValidations count="1">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showDropDown="0" showInputMessage="0" showErrorMessage="0" allowBlank="1" type="list">
      <formula1>"Must,Should,Could,Won't"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68" customWidth="1" min="3" max="3"/>
    <col width="16" customWidth="1" min="4" max="4"/>
    <col width="28" customWidth="1" min="5" max="5"/>
  </cols>
  <sheetData>
    <row r="1" ht="26" customHeight="1">
      <c r="A1" s="1" t="inlineStr">
        <is>
          <t>Objectifs d'apprentissage, module par module</t>
        </is>
      </c>
    </row>
    <row r="2" ht="18" customHeight="1">
      <c r="A2" s="2" t="inlineStr">
        <is>
          <t>Déduits des slides et des exercices, puis rattachés à un objectif de l'examen. Colonne D modifiable : elle alimente la feuille Couverture.</t>
        </is>
      </c>
    </row>
    <row r="4" ht="32" customHeight="1">
      <c r="A4" s="3" t="inlineStr">
        <is>
          <t>Module</t>
        </is>
      </c>
      <c r="B4" s="3" t="inlineStr">
        <is>
          <t>Code</t>
        </is>
      </c>
      <c r="C4" s="3" t="inlineStr">
        <is>
          <t>Objectif d'apprentissage</t>
        </is>
      </c>
      <c r="D4" s="3" t="inlineStr">
        <is>
          <t>Objectif examen</t>
        </is>
      </c>
      <c r="E4" s="3" t="inlineStr">
        <is>
          <t>Exercices</t>
        </is>
      </c>
    </row>
    <row r="5" ht="22" customHeight="1">
      <c r="A5" s="34" t="inlineStr">
        <is>
          <t>POO</t>
        </is>
      </c>
      <c r="B5" s="13" t="inlineStr">
        <is>
          <t>POO.a</t>
        </is>
      </c>
      <c r="C5" s="12" t="inlineStr">
        <is>
          <t>Déclarer une classe, ses champs et ses méthodes</t>
        </is>
      </c>
      <c r="D5" s="35" t="inlineStr">
        <is>
          <t>A.1</t>
        </is>
      </c>
      <c r="E5" s="11" t="inlineStr">
        <is>
          <t>POO.1</t>
        </is>
      </c>
    </row>
    <row r="6" ht="22" customHeight="1">
      <c r="A6" s="34" t="inlineStr">
        <is>
          <t>POO</t>
        </is>
      </c>
      <c r="B6" s="13" t="inlineStr">
        <is>
          <t>POO.b</t>
        </is>
      </c>
      <c r="C6" s="12" t="inlineStr">
        <is>
          <t>Encapsuler : private, accesseurs, invariants</t>
        </is>
      </c>
      <c r="D6" s="35" t="inlineStr">
        <is>
          <t>A.1</t>
        </is>
      </c>
      <c r="E6" s="11" t="inlineStr">
        <is>
          <t>POO.2, POO.3</t>
        </is>
      </c>
    </row>
    <row r="7" ht="22" customHeight="1">
      <c r="A7" s="34" t="inlineStr">
        <is>
          <t>POO</t>
        </is>
      </c>
      <c r="B7" s="13" t="inlineStr">
        <is>
          <t>POO.c</t>
        </is>
      </c>
      <c r="C7" s="12" t="inlineStr">
        <is>
          <t>Éliminer une donnée redondante en la calculant</t>
        </is>
      </c>
      <c r="D7" s="35" t="inlineStr">
        <is>
          <t>C.1</t>
        </is>
      </c>
      <c r="E7" s="11" t="inlineStr">
        <is>
          <t>POO.3</t>
        </is>
      </c>
    </row>
    <row r="8" ht="22" customHeight="1">
      <c r="A8" s="34" t="inlineStr">
        <is>
          <t>POO</t>
        </is>
      </c>
      <c r="B8" s="13" t="inlineStr">
        <is>
          <t>POO.d</t>
        </is>
      </c>
      <c r="C8" s="12" t="inlineStr">
        <is>
          <t>Distinguer passage d'un primitif et d'une référence</t>
        </is>
      </c>
      <c r="D8" s="35" t="inlineStr">
        <is>
          <t>C.1</t>
        </is>
      </c>
      <c r="E8" s="11" t="inlineStr">
        <is>
          <t>POO.4</t>
        </is>
      </c>
    </row>
    <row r="9" ht="22" customHeight="1">
      <c r="A9" s="34" t="inlineStr">
        <is>
          <t>POO</t>
        </is>
      </c>
      <c r="B9" s="13" t="inlineStr">
        <is>
          <t>POO.e</t>
        </is>
      </c>
      <c r="C9" s="12" t="inlineStr">
        <is>
          <t>Séparer le noyau calculatoire du dialogue utilisateur</t>
        </is>
      </c>
      <c r="D9" s="35" t="inlineStr">
        <is>
          <t>C.1</t>
        </is>
      </c>
      <c r="E9" s="11" t="inlineStr">
        <is>
          <t>POO.5</t>
        </is>
      </c>
    </row>
    <row r="10" ht="22" customHeight="1">
      <c r="A10" s="34" t="inlineStr">
        <is>
          <t>STA</t>
        </is>
      </c>
      <c r="B10" s="13" t="inlineStr">
        <is>
          <t>STA.a</t>
        </is>
      </c>
      <c r="C10" s="12" t="inlineStr">
        <is>
          <t>Distinguer ce qui appartient à la classe de ce qui appartient à l'objet</t>
        </is>
      </c>
      <c r="D10" s="35" t="inlineStr">
        <is>
          <t>A.1</t>
        </is>
      </c>
      <c r="E10" s="11" t="inlineStr">
        <is>
          <t>STA.1</t>
        </is>
      </c>
    </row>
    <row r="11" ht="22" customHeight="1">
      <c r="A11" s="34" t="inlineStr">
        <is>
          <t>STA</t>
        </is>
      </c>
      <c r="B11" s="13" t="inlineStr">
        <is>
          <t>STA.b</t>
        </is>
      </c>
      <c r="C11" s="12" t="inlineStr">
        <is>
          <t>Déclarer une constante et savoir où la placer</t>
        </is>
      </c>
      <c r="D11" s="35" t="inlineStr">
        <is>
          <t>C.1</t>
        </is>
      </c>
      <c r="E11" s="11" t="inlineStr">
        <is>
          <t>STA.1</t>
        </is>
      </c>
    </row>
    <row r="12" ht="22" customHeight="1">
      <c r="A12" s="34" t="inlineStr">
        <is>
          <t>STA</t>
        </is>
      </c>
      <c r="B12" s="13" t="inlineStr">
        <is>
          <t>STA.c</t>
        </is>
      </c>
      <c r="C12" s="12" t="inlineStr">
        <is>
          <t>Écrire une méthode statique et une fabrique</t>
        </is>
      </c>
      <c r="D12" s="35" t="inlineStr">
        <is>
          <t>C.1</t>
        </is>
      </c>
      <c r="E12" s="11" t="inlineStr">
        <is>
          <t>STA.2</t>
        </is>
      </c>
    </row>
    <row r="13" ht="22" customHeight="1">
      <c r="A13" s="34" t="inlineStr">
        <is>
          <t>TMP</t>
        </is>
      </c>
      <c r="B13" s="13" t="inlineStr">
        <is>
          <t>TMP.a</t>
        </is>
      </c>
      <c r="C13" s="12" t="inlineStr">
        <is>
          <t>Construire une date et mesurer un écart</t>
        </is>
      </c>
      <c r="D13" s="35" t="inlineStr">
        <is>
          <t>A.3</t>
        </is>
      </c>
      <c r="E13" s="11" t="inlineStr">
        <is>
          <t>TMP.1</t>
        </is>
      </c>
    </row>
    <row r="14" ht="22" customHeight="1">
      <c r="A14" s="34" t="inlineStr">
        <is>
          <t>TMP</t>
        </is>
      </c>
      <c r="B14" s="13" t="inlineStr">
        <is>
          <t>TMP.b</t>
        </is>
      </c>
      <c r="C14" s="12" t="inlineStr">
        <is>
          <t>Comprendre l'immuabilité des objets du JDK</t>
        </is>
      </c>
      <c r="D14" s="35" t="inlineStr">
        <is>
          <t>A.3</t>
        </is>
      </c>
      <c r="E14" s="11" t="inlineStr">
        <is>
          <t>TMP.2</t>
        </is>
      </c>
    </row>
    <row r="15" ht="22" customHeight="1">
      <c r="A15" s="34" t="inlineStr">
        <is>
          <t>TMP</t>
        </is>
      </c>
      <c r="B15" s="13" t="inlineStr">
        <is>
          <t>TMP.c</t>
        </is>
      </c>
      <c r="C15" s="12" t="inlineStr">
        <is>
          <t>Distinguer une date d'un instant</t>
        </is>
      </c>
      <c r="D15" s="35" t="inlineStr">
        <is>
          <t>A.3</t>
        </is>
      </c>
      <c r="E15" s="11" t="inlineStr">
        <is>
          <t>TMP.3</t>
        </is>
      </c>
    </row>
    <row r="16" ht="22" customHeight="1">
      <c r="A16" s="34" t="inlineStr">
        <is>
          <t>TMP</t>
        </is>
      </c>
      <c r="B16" s="13" t="inlineStr">
        <is>
          <t>TMP.d</t>
        </is>
      </c>
      <c r="C16" s="12" t="inlineStr">
        <is>
          <t>Maîtriser l'arithmétique du calendrier</t>
        </is>
      </c>
      <c r="D16" s="35" t="inlineStr">
        <is>
          <t>A.3</t>
        </is>
      </c>
      <c r="E16" s="11" t="inlineStr">
        <is>
          <t>TMP.4</t>
        </is>
      </c>
    </row>
    <row r="17" ht="22" customHeight="1">
      <c r="A17" s="34" t="inlineStr">
        <is>
          <t>TMP</t>
        </is>
      </c>
      <c r="B17" s="13" t="inlineStr">
        <is>
          <t>TMP.e</t>
        </is>
      </c>
      <c r="C17" s="12" t="inlineStr">
        <is>
          <t>Choisir entre Period et Duration</t>
        </is>
      </c>
      <c r="D17" s="35" t="inlineStr">
        <is>
          <t>A.3</t>
        </is>
      </c>
      <c r="E17" s="11" t="inlineStr">
        <is>
          <t>TMP.5</t>
        </is>
      </c>
    </row>
    <row r="18" ht="22" customHeight="1">
      <c r="A18" s="34" t="inlineStr">
        <is>
          <t>TMP</t>
        </is>
      </c>
      <c r="B18" s="13" t="inlineStr">
        <is>
          <t>TMP.f</t>
        </is>
      </c>
      <c r="C18" s="12" t="inlineStr">
        <is>
          <t>Formater et analyser une date, et connaître les pièges</t>
        </is>
      </c>
      <c r="D18" s="35" t="inlineStr">
        <is>
          <t>A.3</t>
        </is>
      </c>
      <c r="E18" s="11" t="inlineStr">
        <is>
          <t>TMP.6</t>
        </is>
      </c>
    </row>
    <row r="19" ht="22" customHeight="1">
      <c r="A19" s="34" t="inlineStr">
        <is>
          <t>PKG</t>
        </is>
      </c>
      <c r="B19" s="13" t="inlineStr">
        <is>
          <t>PKG.a</t>
        </is>
      </c>
      <c r="C19" s="12" t="inlineStr">
        <is>
          <t>Connaître les niveaux de visibilité et leur portée</t>
        </is>
      </c>
      <c r="D19" s="35" t="inlineStr">
        <is>
          <t>A.1</t>
        </is>
      </c>
      <c r="E19" s="11" t="inlineStr">
        <is>
          <t>PKG.1, PKG.2</t>
        </is>
      </c>
    </row>
    <row r="20" ht="22" customHeight="1">
      <c r="A20" s="34" t="inlineStr">
        <is>
          <t>PKG</t>
        </is>
      </c>
      <c r="B20" s="13" t="inlineStr">
        <is>
          <t>PKG.b</t>
        </is>
      </c>
      <c r="C20" s="12" t="inlineStr">
        <is>
          <t>Justifier un accesseur plutôt qu'un champ public</t>
        </is>
      </c>
      <c r="D20" s="35" t="inlineStr">
        <is>
          <t>C.1</t>
        </is>
      </c>
      <c r="E20" s="11" t="inlineStr">
        <is>
          <t>PKG.2</t>
        </is>
      </c>
    </row>
    <row r="21" ht="22" customHeight="1">
      <c r="A21" s="34" t="inlineStr">
        <is>
          <t>PKG</t>
        </is>
      </c>
      <c r="B21" s="13" t="inlineStr">
        <is>
          <t>PKG.c</t>
        </is>
      </c>
      <c r="C21" s="12" t="inlineStr">
        <is>
          <t>Réduire la surface publique d'une classe</t>
        </is>
      </c>
      <c r="D21" s="35" t="inlineStr">
        <is>
          <t>C.1</t>
        </is>
      </c>
      <c r="E21" s="11" t="inlineStr">
        <is>
          <t>PKG.3</t>
        </is>
      </c>
    </row>
    <row r="22" ht="22" customHeight="1">
      <c r="A22" s="34" t="inlineStr">
        <is>
          <t>PKG</t>
        </is>
      </c>
      <c r="B22" s="13" t="inlineStr">
        <is>
          <t>PKG.d</t>
        </is>
      </c>
      <c r="C22" s="12" t="inlineStr">
        <is>
          <t>Organiser un programme en packages et lire ses dépendances</t>
        </is>
      </c>
      <c r="D22" s="35" t="inlineStr">
        <is>
          <t>C.1</t>
        </is>
      </c>
      <c r="E22" s="11" t="inlineStr">
        <is>
          <t>PKG.4</t>
        </is>
      </c>
    </row>
    <row r="23" ht="22" customHeight="1">
      <c r="A23" s="34" t="inlineStr">
        <is>
          <t>PKG</t>
        </is>
      </c>
      <c r="B23" s="13" t="inlineStr">
        <is>
          <t>PKG.e</t>
        </is>
      </c>
      <c r="C23" s="12" t="inlineStr">
        <is>
          <t>Compléter une hiérarchie autour d'une classe fournie, en composant avec ses visibilités</t>
        </is>
      </c>
      <c r="D23" s="35" t="inlineStr">
        <is>
          <t>A.2</t>
        </is>
      </c>
      <c r="E23" s="11" t="inlineStr">
        <is>
          <t>PKG.5</t>
        </is>
      </c>
    </row>
    <row r="24" ht="22" customHeight="1">
      <c r="A24" s="34" t="inlineStr">
        <is>
          <t>TAB</t>
        </is>
      </c>
      <c r="B24" s="13" t="inlineStr">
        <is>
          <t>TAB.a</t>
        </is>
      </c>
      <c r="C24" s="12" t="inlineStr">
        <is>
          <t>Parcourir un tableau à deux dimensions</t>
        </is>
      </c>
      <c r="D24" s="35" t="inlineStr">
        <is>
          <t>A.1</t>
        </is>
      </c>
      <c r="E24" s="11" t="inlineStr">
        <is>
          <t>TAB.1</t>
        </is>
      </c>
    </row>
    <row r="25" ht="22" customHeight="1">
      <c r="A25" s="34" t="inlineStr">
        <is>
          <t>TAB</t>
        </is>
      </c>
      <c r="B25" s="13" t="inlineStr">
        <is>
          <t>TAB.b</t>
        </is>
      </c>
      <c r="C25" s="12" t="inlineStr">
        <is>
          <t>Construire un tableau non rectangulaire</t>
        </is>
      </c>
      <c r="D25" s="35" t="inlineStr">
        <is>
          <t>A.1</t>
        </is>
      </c>
      <c r="E25" s="11" t="inlineStr">
        <is>
          <t>TAB.2</t>
        </is>
      </c>
    </row>
    <row r="26" ht="22" customHeight="1">
      <c r="A26" s="34" t="inlineStr">
        <is>
          <t>TAB</t>
        </is>
      </c>
      <c r="B26" s="13" t="inlineStr">
        <is>
          <t>TAB.c</t>
        </is>
      </c>
      <c r="C26" s="12" t="inlineStr">
        <is>
          <t>Employer l'opérateur ternaire à bon escient</t>
        </is>
      </c>
      <c r="D26" s="35" t="inlineStr">
        <is>
          <t>D.2</t>
        </is>
      </c>
      <c r="E26" s="11" t="inlineStr">
        <is>
          <t>TAB.3</t>
        </is>
      </c>
    </row>
    <row r="27" ht="22" customHeight="1">
      <c r="A27" s="34" t="inlineStr">
        <is>
          <t>TAB</t>
        </is>
      </c>
      <c r="B27" s="13" t="inlineStr">
        <is>
          <t>TAB.d</t>
        </is>
      </c>
      <c r="C27" s="12" t="inlineStr">
        <is>
          <t>Faire collaborer plusieurs classes, gérer un tableau fixe</t>
        </is>
      </c>
      <c r="D27" s="35" t="inlineStr">
        <is>
          <t>C.1</t>
        </is>
      </c>
      <c r="E27" s="11" t="inlineStr">
        <is>
          <t>TAB.4</t>
        </is>
      </c>
    </row>
    <row r="28" ht="22" customHeight="1">
      <c r="A28" s="34" t="inlineStr">
        <is>
          <t>ENU</t>
        </is>
      </c>
      <c r="B28" s="13" t="inlineStr">
        <is>
          <t>ENU.a</t>
        </is>
      </c>
      <c r="C28" s="12" t="inlineStr">
        <is>
          <t>Déclarer une énumération et exploiter l'ordre des constantes</t>
        </is>
      </c>
      <c r="D28" s="35" t="inlineStr">
        <is>
          <t>A.1</t>
        </is>
      </c>
      <c r="E28" s="11" t="inlineStr">
        <is>
          <t>ENU.1</t>
        </is>
      </c>
    </row>
    <row r="29" ht="22" customHeight="1">
      <c r="A29" s="34" t="inlineStr">
        <is>
          <t>ENU</t>
        </is>
      </c>
      <c r="B29" s="13" t="inlineStr">
        <is>
          <t>ENU.b</t>
        </is>
      </c>
      <c r="C29" s="12" t="inlineStr">
        <is>
          <t>Passer une énumération en paramètre</t>
        </is>
      </c>
      <c r="D29" s="35" t="inlineStr">
        <is>
          <t>A.1</t>
        </is>
      </c>
      <c r="E29" s="11" t="inlineStr">
        <is>
          <t>ENU.2</t>
        </is>
      </c>
    </row>
    <row r="30" ht="22" customHeight="1">
      <c r="A30" s="34" t="inlineStr">
        <is>
          <t>ENU</t>
        </is>
      </c>
      <c r="B30" s="13" t="inlineStr">
        <is>
          <t>ENU.c</t>
        </is>
      </c>
      <c r="C30" s="12" t="inlineStr">
        <is>
          <t>Donner un constructeur et des méthodes à une énumération</t>
        </is>
      </c>
      <c r="D30" s="35" t="inlineStr">
        <is>
          <t>A.1</t>
        </is>
      </c>
      <c r="E30" s="11" t="inlineStr">
        <is>
          <t>ENU.3</t>
        </is>
      </c>
    </row>
    <row r="31" ht="22" customHeight="1">
      <c r="A31" s="34" t="inlineStr">
        <is>
          <t>ENU</t>
        </is>
      </c>
      <c r="B31" s="13" t="inlineStr">
        <is>
          <t>ENU.d</t>
        </is>
      </c>
      <c r="C31" s="12" t="inlineStr">
        <is>
          <t>Écrire un record et savoir quand il convient</t>
        </is>
      </c>
      <c r="D31" s="35" t="inlineStr">
        <is>
          <t>A.1</t>
        </is>
      </c>
      <c r="E31" s="11" t="inlineStr">
        <is>
          <t>ENU.4</t>
        </is>
      </c>
    </row>
    <row r="32" ht="22" customHeight="1">
      <c r="A32" s="34" t="inlineStr">
        <is>
          <t>ABS</t>
        </is>
      </c>
      <c r="B32" s="13" t="inlineStr">
        <is>
          <t>ABS.a</t>
        </is>
      </c>
      <c r="C32" s="12" t="inlineStr">
        <is>
          <t>Écrire une classe abstraite et une méthode abstraite</t>
        </is>
      </c>
      <c r="D32" s="35" t="inlineStr">
        <is>
          <t>A.4</t>
        </is>
      </c>
      <c r="E32" s="11" t="inlineStr">
        <is>
          <t>ABS.1</t>
        </is>
      </c>
    </row>
    <row r="33" ht="22" customHeight="1">
      <c r="A33" s="34" t="inlineStr">
        <is>
          <t>ABS</t>
        </is>
      </c>
      <c r="B33" s="13" t="inlineStr">
        <is>
          <t>ABS.b</t>
        </is>
      </c>
      <c r="C33" s="12" t="inlineStr">
        <is>
          <t>Faire remonter le code commun, laisser descendre ce qui varie</t>
        </is>
      </c>
      <c r="D33" s="35" t="inlineStr">
        <is>
          <t>C.1</t>
        </is>
      </c>
      <c r="E33" s="11" t="inlineStr">
        <is>
          <t>ABS.1, ABS.2</t>
        </is>
      </c>
    </row>
    <row r="34" ht="22" customHeight="1">
      <c r="A34" s="34" t="inlineStr">
        <is>
          <t>ABS</t>
        </is>
      </c>
      <c r="B34" s="13" t="inlineStr">
        <is>
          <t>ABS.c</t>
        </is>
      </c>
      <c r="C34" s="12" t="inlineStr">
        <is>
          <t>Exploiter le polymorphisme sans tester le type</t>
        </is>
      </c>
      <c r="D34" s="35" t="inlineStr">
        <is>
          <t>A.4</t>
        </is>
      </c>
      <c r="E34" s="11" t="inlineStr">
        <is>
          <t>ABS.2</t>
        </is>
      </c>
    </row>
    <row r="35" ht="22" customHeight="1">
      <c r="A35" s="34" t="inlineStr">
        <is>
          <t>ABS</t>
        </is>
      </c>
      <c r="B35" s="13" t="inlineStr">
        <is>
          <t>ABS.d</t>
        </is>
      </c>
      <c r="C35" s="12" t="inlineStr">
        <is>
          <t>Compléter un dispositif écrit par un tiers</t>
        </is>
      </c>
      <c r="D35" s="35" t="inlineStr">
        <is>
          <t>A.2</t>
        </is>
      </c>
      <c r="E35" s="11" t="inlineStr">
        <is>
          <t>ABS.3</t>
        </is>
      </c>
    </row>
    <row r="36" ht="22" customHeight="1">
      <c r="A36" s="34" t="inlineStr">
        <is>
          <t>ABS</t>
        </is>
      </c>
      <c r="B36" s="13" t="inlineStr">
        <is>
          <t>ABS.e</t>
        </is>
      </c>
      <c r="C36" s="12" t="inlineStr">
        <is>
          <t>Factoriser une hiérarchie métier complète</t>
        </is>
      </c>
      <c r="D36" s="35" t="inlineStr">
        <is>
          <t>A.4</t>
        </is>
      </c>
      <c r="E36" s="11" t="inlineStr">
        <is>
          <t>ABS.4</t>
        </is>
      </c>
    </row>
    <row r="37" ht="22" customHeight="1">
      <c r="A37" s="34" t="inlineStr">
        <is>
          <t>ABS</t>
        </is>
      </c>
      <c r="B37" s="13" t="inlineStr">
        <is>
          <t>ABS.f</t>
        </is>
      </c>
      <c r="C37" s="12" t="inlineStr">
        <is>
          <t>Concevoir une hiérarchie entière à partir d'un énoncé, sans squelette</t>
        </is>
      </c>
      <c r="D37" s="35" t="inlineStr">
        <is>
          <t>A.4</t>
        </is>
      </c>
      <c r="E37" s="11" t="inlineStr">
        <is>
          <t>ABS.5</t>
        </is>
      </c>
    </row>
    <row r="38" ht="22" customHeight="1">
      <c r="A38" s="34" t="inlineStr">
        <is>
          <t>ITF</t>
        </is>
      </c>
      <c r="B38" s="13" t="inlineStr">
        <is>
          <t>ITF.a</t>
        </is>
      </c>
      <c r="C38" s="12" t="inlineStr">
        <is>
          <t>Écrire et implémenter une interface</t>
        </is>
      </c>
      <c r="D38" s="35" t="inlineStr">
        <is>
          <t>A.1</t>
        </is>
      </c>
      <c r="E38" s="11" t="inlineStr">
        <is>
          <t>ITF.1</t>
        </is>
      </c>
    </row>
    <row r="39" ht="22" customHeight="1">
      <c r="A39" s="34" t="inlineStr">
        <is>
          <t>ITF</t>
        </is>
      </c>
      <c r="B39" s="13" t="inlineStr">
        <is>
          <t>ITF.b</t>
        </is>
      </c>
      <c r="C39" s="12" t="inlineStr">
        <is>
          <t>Dépendre d'une interface plutôt que d'une classe concrète</t>
        </is>
      </c>
      <c r="D39" s="35" t="inlineStr">
        <is>
          <t>C.1</t>
        </is>
      </c>
      <c r="E39" s="11" t="inlineStr">
        <is>
          <t>ITF.1, ITF.2</t>
        </is>
      </c>
    </row>
    <row r="40" ht="22" customHeight="1">
      <c r="A40" s="34" t="inlineStr">
        <is>
          <t>ITF</t>
        </is>
      </c>
      <c r="B40" s="13" t="inlineStr">
        <is>
          <t>ITF.c</t>
        </is>
      </c>
      <c r="C40" s="12" t="inlineStr">
        <is>
          <t>Implémenter plusieurs interfaces, choisir entre interface et abstraite</t>
        </is>
      </c>
      <c r="D40" s="35" t="inlineStr">
        <is>
          <t>A.4</t>
        </is>
      </c>
      <c r="E40" s="11" t="inlineStr">
        <is>
          <t>ITF.3</t>
        </is>
      </c>
    </row>
    <row r="41" ht="22" customHeight="1">
      <c r="A41" s="34" t="inlineStr">
        <is>
          <t>ITF</t>
        </is>
      </c>
      <c r="B41" s="13" t="inlineStr">
        <is>
          <t>ITF.d</t>
        </is>
      </c>
      <c r="C41" s="12" t="inlineStr">
        <is>
          <t>Étendre un programme sans le modifier (Observateur)</t>
        </is>
      </c>
      <c r="D41" s="35" t="inlineStr">
        <is>
          <t>A.2</t>
        </is>
      </c>
      <c r="E41" s="11" t="inlineStr">
        <is>
          <t>ITF.4</t>
        </is>
      </c>
    </row>
    <row r="42" ht="22" customHeight="1">
      <c r="A42" s="34" t="inlineStr">
        <is>
          <t>COL</t>
        </is>
      </c>
      <c r="B42" s="13" t="inlineStr">
        <is>
          <t>COL.a</t>
        </is>
      </c>
      <c r="C42" s="12" t="inlineStr">
        <is>
          <t>Choisir entre List, Set et Map selon la garantie voulue</t>
        </is>
      </c>
      <c r="D42" s="35" t="inlineStr">
        <is>
          <t>A.3</t>
        </is>
      </c>
      <c r="E42" s="11" t="inlineStr">
        <is>
          <t>COL.1, COL.6</t>
        </is>
      </c>
    </row>
    <row r="43" ht="22" customHeight="1">
      <c r="A43" s="34" t="inlineStr">
        <is>
          <t>COL</t>
        </is>
      </c>
      <c r="B43" s="13" t="inlineStr">
        <is>
          <t>COL.b</t>
        </is>
      </c>
      <c r="C43" s="12" t="inlineStr">
        <is>
          <t>Employer une table associative</t>
        </is>
      </c>
      <c r="D43" s="35" t="inlineStr">
        <is>
          <t>A.3</t>
        </is>
      </c>
      <c r="E43" s="11" t="inlineStr">
        <is>
          <t>COL.2, COL.4</t>
        </is>
      </c>
    </row>
    <row r="44" ht="22" customHeight="1">
      <c r="A44" s="34" t="inlineStr">
        <is>
          <t>COL</t>
        </is>
      </c>
      <c r="B44" s="13" t="inlineStr">
        <is>
          <t>COL.c</t>
        </is>
      </c>
      <c r="C44" s="12" t="inlineStr">
        <is>
          <t>Remplir une collection à partir d'un flux de texte</t>
        </is>
      </c>
      <c r="D44" s="35" t="inlineStr">
        <is>
          <t>A.3</t>
        </is>
      </c>
      <c r="E44" s="11" t="inlineStr">
        <is>
          <t>COL.3</t>
        </is>
      </c>
    </row>
    <row r="45" ht="22" customHeight="1">
      <c r="A45" s="34" t="inlineStr">
        <is>
          <t>COL</t>
        </is>
      </c>
      <c r="B45" s="13" t="inlineStr">
        <is>
          <t>COL.d</t>
        </is>
      </c>
      <c r="C45" s="12" t="inlineStr">
        <is>
          <t>Passer un prédicat à une méthode de collection</t>
        </is>
      </c>
      <c r="D45" s="35" t="inlineStr">
        <is>
          <t>A.6</t>
        </is>
      </c>
      <c r="E45" s="11" t="inlineStr">
        <is>
          <t>COL.5</t>
        </is>
      </c>
    </row>
    <row r="46" ht="22" customHeight="1">
      <c r="A46" s="34" t="inlineStr">
        <is>
          <t>COL</t>
        </is>
      </c>
      <c r="B46" s="13" t="inlineStr">
        <is>
          <t>COL.e</t>
        </is>
      </c>
      <c r="C46" s="12" t="inlineStr">
        <is>
          <t>Emboîter des collections, confier une règle à la structure</t>
        </is>
      </c>
      <c r="D46" s="35" t="inlineStr">
        <is>
          <t>C.1</t>
        </is>
      </c>
      <c r="E46" s="11" t="inlineStr">
        <is>
          <t>COL.7</t>
        </is>
      </c>
    </row>
    <row r="47" ht="22" customHeight="1">
      <c r="A47" s="34" t="inlineStr">
        <is>
          <t>EXC</t>
        </is>
      </c>
      <c r="B47" s="13" t="inlineStr">
        <is>
          <t>EXC.a</t>
        </is>
      </c>
      <c r="C47" s="12" t="inlineStr">
        <is>
          <t>Écrire et lever une exception personnalisée</t>
        </is>
      </c>
      <c r="D47" s="35" t="inlineStr">
        <is>
          <t>A.1</t>
        </is>
      </c>
      <c r="E47" s="11" t="inlineStr">
        <is>
          <t>EXC.1, EXC.3</t>
        </is>
      </c>
    </row>
    <row r="48" ht="22" customHeight="1">
      <c r="A48" s="34" t="inlineStr">
        <is>
          <t>EXC</t>
        </is>
      </c>
      <c r="B48" s="13" t="inlineStr">
        <is>
          <t>EXC.b</t>
        </is>
      </c>
      <c r="C48" s="12" t="inlineStr">
        <is>
          <t>Laisser l'objet cohérent quand une méthode échoue</t>
        </is>
      </c>
      <c r="D48" s="35" t="inlineStr">
        <is>
          <t>C.1</t>
        </is>
      </c>
      <c r="E48" s="11" t="inlineStr">
        <is>
          <t>EXC.1</t>
        </is>
      </c>
    </row>
    <row r="49" ht="22" customHeight="1">
      <c r="A49" s="34" t="inlineStr">
        <is>
          <t>EXC</t>
        </is>
      </c>
      <c r="B49" s="13" t="inlineStr">
        <is>
          <t>EXC.c</t>
        </is>
      </c>
      <c r="C49" s="12" t="inlineStr">
        <is>
          <t>Valider dans le constructeur</t>
        </is>
      </c>
      <c r="D49" s="35" t="inlineStr">
        <is>
          <t>C.1</t>
        </is>
      </c>
      <c r="E49" s="11" t="inlineStr">
        <is>
          <t>EXC.3</t>
        </is>
      </c>
    </row>
    <row r="50" ht="22" customHeight="1">
      <c r="A50" s="34" t="inlineStr">
        <is>
          <t>EXC</t>
        </is>
      </c>
      <c r="B50" s="13" t="inlineStr">
        <is>
          <t>EXC.d</t>
        </is>
      </c>
      <c r="C50" s="12" t="inlineStr">
        <is>
          <t>Structurer une famille d'exceptions selon ce que l'appelant distingue</t>
        </is>
      </c>
      <c r="D50" s="35" t="inlineStr">
        <is>
          <t>C.1</t>
        </is>
      </c>
      <c r="E50" s="11" t="inlineStr">
        <is>
          <t>EXC.3</t>
        </is>
      </c>
    </row>
    <row r="51" ht="22" customHeight="1">
      <c r="A51" s="34" t="inlineStr">
        <is>
          <t>EXC</t>
        </is>
      </c>
      <c r="B51" s="13" t="inlineStr">
        <is>
          <t>EXC.e</t>
        </is>
      </c>
      <c r="C51" s="12" t="inlineStr">
        <is>
          <t>Traiter les exceptions non contrôlées du JDK</t>
        </is>
      </c>
      <c r="D51" s="35" t="inlineStr">
        <is>
          <t>A.3</t>
        </is>
      </c>
      <c r="E51" s="11" t="inlineStr">
        <is>
          <t>EXC.4</t>
        </is>
      </c>
    </row>
    <row r="52" ht="22" customHeight="1">
      <c r="A52" s="34" t="inlineStr">
        <is>
          <t>EXC</t>
        </is>
      </c>
      <c r="B52" s="13" t="inlineStr">
        <is>
          <t>EXC.f</t>
        </is>
      </c>
      <c r="C52" s="12" t="inlineStr">
        <is>
          <t>Lire une trace d'exception et remonter à la cause</t>
        </is>
      </c>
      <c r="D52" s="35" t="inlineStr">
        <is>
          <t>B.3</t>
        </is>
      </c>
      <c r="E52" s="11" t="inlineStr">
        <is>
          <t>EXC.5</t>
        </is>
      </c>
    </row>
    <row r="53" ht="22" customHeight="1">
      <c r="A53" s="34" t="inlineStr">
        <is>
          <t>JUN</t>
        </is>
      </c>
      <c r="B53" s="13" t="inlineStr">
        <is>
          <t>JUN.a</t>
        </is>
      </c>
      <c r="C53" s="12" t="inlineStr">
        <is>
          <t>Lire une classe de test comme une spécification</t>
        </is>
      </c>
      <c r="D53" s="35" t="inlineStr">
        <is>
          <t>B.3</t>
        </is>
      </c>
      <c r="E53" s="11" t="inlineStr">
        <is>
          <t>JUN.1</t>
        </is>
      </c>
    </row>
    <row r="54" ht="22" customHeight="1">
      <c r="A54" s="34" t="inlineStr">
        <is>
          <t>JUN</t>
        </is>
      </c>
      <c r="B54" s="13" t="inlineStr">
        <is>
          <t>JUN.b</t>
        </is>
      </c>
      <c r="C54" s="12" t="inlineStr">
        <is>
          <t>Écrire une vérification qui démasque un défaut</t>
        </is>
      </c>
      <c r="D54" s="35" t="inlineStr">
        <is>
          <t>B.1</t>
        </is>
      </c>
      <c r="E54" s="11" t="inlineStr">
        <is>
          <t>JUN.2</t>
        </is>
      </c>
    </row>
    <row r="55" ht="22" customHeight="1">
      <c r="A55" s="34" t="inlineStr">
        <is>
          <t>JUN</t>
        </is>
      </c>
      <c r="B55" s="13" t="inlineStr">
        <is>
          <t>JUN.c</t>
        </is>
      </c>
      <c r="C55" s="12" t="inlineStr">
        <is>
          <t>Écrire une classe de test JUnit structurée</t>
        </is>
      </c>
      <c r="D55" s="35" t="inlineStr">
        <is>
          <t>B.2</t>
        </is>
      </c>
      <c r="E55" s="11" t="inlineStr">
        <is>
          <t>JUN.3</t>
        </is>
      </c>
    </row>
    <row r="56" ht="22" customHeight="1">
      <c r="A56" s="34" t="inlineStr">
        <is>
          <t>JUN</t>
        </is>
      </c>
      <c r="B56" s="13" t="inlineStr">
        <is>
          <t>JUN.d</t>
        </is>
      </c>
      <c r="C56" s="12" t="inlineStr">
        <is>
          <t>Justifier le choix des cas testés, y compris les bords</t>
        </is>
      </c>
      <c r="D56" s="35" t="inlineStr">
        <is>
          <t>C.2</t>
        </is>
      </c>
      <c r="E56" s="11" t="inlineStr">
        <is>
          <t>JUN.2, JUN.3</t>
        </is>
      </c>
    </row>
    <row r="57" ht="22" customHeight="1">
      <c r="A57" s="34" t="inlineStr">
        <is>
          <t>GEN</t>
        </is>
      </c>
      <c r="B57" s="13" t="inlineStr">
        <is>
          <t>GEN.a</t>
        </is>
      </c>
      <c r="C57" s="12" t="inlineStr">
        <is>
          <t>Écrire une classe générique à un ou plusieurs paramètres</t>
        </is>
      </c>
      <c r="D57" s="35" t="inlineStr">
        <is>
          <t>A.1</t>
        </is>
      </c>
      <c r="E57" s="11" t="inlineStr">
        <is>
          <t>GEN.1, GEN.2, GEN.3</t>
        </is>
      </c>
    </row>
    <row r="58" ht="22" customHeight="1">
      <c r="A58" s="34" t="inlineStr">
        <is>
          <t>GEN</t>
        </is>
      </c>
      <c r="B58" s="13" t="inlineStr">
        <is>
          <t>GEN.b</t>
        </is>
      </c>
      <c r="C58" s="12" t="inlineStr">
        <is>
          <t>Comprendre ce que la généricité évite</t>
        </is>
      </c>
      <c r="D58" s="35" t="inlineStr">
        <is>
          <t>C.1</t>
        </is>
      </c>
      <c r="E58" s="11" t="inlineStr">
        <is>
          <t>GEN.1</t>
        </is>
      </c>
    </row>
    <row r="59" ht="22" customHeight="1">
      <c r="A59" s="34" t="inlineStr">
        <is>
          <t>GEN</t>
        </is>
      </c>
      <c r="B59" s="13" t="inlineStr">
        <is>
          <t>GEN.c</t>
        </is>
      </c>
      <c r="C59" s="12" t="inlineStr">
        <is>
          <t>Employer le joker pour accepter une famille de types</t>
        </is>
      </c>
      <c r="D59" s="35" t="inlineStr">
        <is>
          <t>A.4</t>
        </is>
      </c>
      <c r="E59" s="11" t="inlineStr">
        <is>
          <t>GEN.4</t>
        </is>
      </c>
    </row>
    <row r="60" ht="22" customHeight="1">
      <c r="A60" s="34" t="inlineStr">
        <is>
          <t>GEN</t>
        </is>
      </c>
      <c r="B60" s="13" t="inlineStr">
        <is>
          <t>GEN.d</t>
        </is>
      </c>
      <c r="C60" s="12" t="inlineStr">
        <is>
          <t>Écrire une méthode générique</t>
        </is>
      </c>
      <c r="D60" s="35" t="inlineStr">
        <is>
          <t>A.1</t>
        </is>
      </c>
      <c r="E60" s="11" t="inlineStr">
        <is>
          <t>GEN.5</t>
        </is>
      </c>
    </row>
    <row r="61" ht="22" customHeight="1">
      <c r="A61" s="34" t="inlineStr">
        <is>
          <t>GEN</t>
        </is>
      </c>
      <c r="B61" s="13" t="inlineStr">
        <is>
          <t>GEN.e</t>
        </is>
      </c>
      <c r="C61" s="12" t="inlineStr">
        <is>
          <t>Hériter d'une classe générique, distinguer super() et this()</t>
        </is>
      </c>
      <c r="D61" s="35" t="inlineStr">
        <is>
          <t>A.4</t>
        </is>
      </c>
      <c r="E61" s="11" t="inlineStr">
        <is>
          <t>GEN.6</t>
        </is>
      </c>
    </row>
    <row r="62" ht="22" customHeight="1">
      <c r="A62" s="34" t="inlineStr">
        <is>
          <t>LAM</t>
        </is>
      </c>
      <c r="B62" s="13" t="inlineStr">
        <is>
          <t>LAM.a</t>
        </is>
      </c>
      <c r="C62" s="12" t="inlineStr">
        <is>
          <t>Reconnaître une interface fonctionnelle</t>
        </is>
      </c>
      <c r="D62" s="35" t="inlineStr">
        <is>
          <t>A.6</t>
        </is>
      </c>
      <c r="E62" s="11" t="inlineStr">
        <is>
          <t>LAM.1, LAM.2</t>
        </is>
      </c>
    </row>
    <row r="63" ht="22" customHeight="1">
      <c r="A63" s="34" t="inlineStr">
        <is>
          <t>LAM</t>
        </is>
      </c>
      <c r="B63" s="13" t="inlineStr">
        <is>
          <t>LAM.b</t>
        </is>
      </c>
      <c r="C63" s="12" t="inlineStr">
        <is>
          <t>Écrire une expression lambda sous ses trois formes</t>
        </is>
      </c>
      <c r="D63" s="35" t="inlineStr">
        <is>
          <t>A.6</t>
        </is>
      </c>
      <c r="E63" s="11" t="inlineStr">
        <is>
          <t>LAM.1</t>
        </is>
      </c>
    </row>
    <row r="64" ht="22" customHeight="1">
      <c r="A64" s="34" t="inlineStr">
        <is>
          <t>LAM</t>
        </is>
      </c>
      <c r="B64" s="13" t="inlineStr">
        <is>
          <t>LAM.c</t>
        </is>
      </c>
      <c r="C64" s="12" t="inlineStr">
        <is>
          <t>Passer un comportement en paramètre</t>
        </is>
      </c>
      <c r="D64" s="35" t="inlineStr">
        <is>
          <t>A.6</t>
        </is>
      </c>
      <c r="E64" s="11" t="inlineStr">
        <is>
          <t>LAM.2</t>
        </is>
      </c>
    </row>
    <row r="65" ht="22" customHeight="1">
      <c r="A65" s="34" t="inlineStr">
        <is>
          <t>LAM</t>
        </is>
      </c>
      <c r="B65" s="13" t="inlineStr">
        <is>
          <t>LAM.d</t>
        </is>
      </c>
      <c r="C65" s="12" t="inlineStr">
        <is>
          <t>Employer les interfaces de java.util.function</t>
        </is>
      </c>
      <c r="D65" s="35" t="inlineStr">
        <is>
          <t>A.6</t>
        </is>
      </c>
      <c r="E65" s="11" t="inlineStr">
        <is>
          <t>LAM.3</t>
        </is>
      </c>
    </row>
    <row r="66" ht="22" customHeight="1">
      <c r="A66" s="34" t="inlineStr">
        <is>
          <t>LAM</t>
        </is>
      </c>
      <c r="B66" s="13" t="inlineStr">
        <is>
          <t>LAM.e</t>
        </is>
      </c>
      <c r="C66" s="12" t="inlineStr">
        <is>
          <t>Employer une référence de méthode</t>
        </is>
      </c>
      <c r="D66" s="35" t="inlineStr">
        <is>
          <t>A.6</t>
        </is>
      </c>
      <c r="E66" s="11" t="inlineStr">
        <is>
          <t>LAM.3</t>
        </is>
      </c>
    </row>
    <row r="67" ht="22" customHeight="1">
      <c r="A67" s="34" t="inlineStr">
        <is>
          <t>FX</t>
        </is>
      </c>
      <c r="B67" s="13" t="inlineStr">
        <is>
          <t>FX.a</t>
        </is>
      </c>
      <c r="C67" s="12" t="inlineStr">
        <is>
          <t>Construire une fenêtre et disposer des composants</t>
        </is>
      </c>
      <c r="D67" s="35" t="inlineStr">
        <is>
          <t>A.5</t>
        </is>
      </c>
      <c r="E67" s="11" t="inlineStr">
        <is>
          <t>FX.1, FX.3</t>
        </is>
      </c>
    </row>
    <row r="68" ht="22" customHeight="1">
      <c r="A68" s="34" t="inlineStr">
        <is>
          <t>FX</t>
        </is>
      </c>
      <c r="B68" s="13" t="inlineStr">
        <is>
          <t>FX.b</t>
        </is>
      </c>
      <c r="C68" s="12" t="inlineStr">
        <is>
          <t>Relier un composant à un gestionnaire d'ActionEvent</t>
        </is>
      </c>
      <c r="D68" s="35" t="inlineStr">
        <is>
          <t>A.5</t>
        </is>
      </c>
      <c r="E68" s="11" t="inlineStr">
        <is>
          <t>FX.1, FX.2</t>
        </is>
      </c>
    </row>
    <row r="69" ht="22" customHeight="1">
      <c r="A69" s="34" t="inlineStr">
        <is>
          <t>FX</t>
        </is>
      </c>
      <c r="B69" s="13" t="inlineStr">
        <is>
          <t>FX.c</t>
        </is>
      </c>
      <c r="C69" s="12" t="inlineStr">
        <is>
          <t>Traiter un KeyEvent et un MouseEvent</t>
        </is>
      </c>
      <c r="D69" s="35" t="inlineStr">
        <is>
          <t>A.5</t>
        </is>
      </c>
      <c r="E69" s="11" t="inlineStr">
        <is>
          <t>FX.4, FX.5</t>
        </is>
      </c>
    </row>
    <row r="70" ht="22" customHeight="1">
      <c r="A70" s="34" t="inlineStr">
        <is>
          <t>FX</t>
        </is>
      </c>
      <c r="B70" s="13" t="inlineStr">
        <is>
          <t>FX.d</t>
        </is>
      </c>
      <c r="C70" s="12" t="inlineStr">
        <is>
          <t>Distinguer filtre et gestionnaire, comprendre la propagation</t>
        </is>
      </c>
      <c r="D70" s="35" t="inlineStr">
        <is>
          <t>A.5</t>
        </is>
      </c>
      <c r="E70" s="11" t="inlineStr">
        <is>
          <t>FX.5</t>
        </is>
      </c>
    </row>
    <row r="71" ht="22" customHeight="1">
      <c r="A71" s="34" t="inlineStr">
        <is>
          <t>FX</t>
        </is>
      </c>
      <c r="B71" s="13" t="inlineStr">
        <is>
          <t>FX.e</t>
        </is>
      </c>
      <c r="C71" s="12" t="inlineStr">
        <is>
          <t>Construire une application graphique complète</t>
        </is>
      </c>
      <c r="D71" s="35" t="inlineStr">
        <is>
          <t>A.5</t>
        </is>
      </c>
      <c r="E71" s="11" t="inlineStr">
        <is>
          <t>FX.9</t>
        </is>
      </c>
    </row>
    <row r="72" ht="22" customHeight="1">
      <c r="A72" s="34" t="inlineStr">
        <is>
          <t>FX</t>
        </is>
      </c>
      <c r="B72" s="13" t="inlineStr">
        <is>
          <t>FX.f</t>
        </is>
      </c>
      <c r="C72" s="12" t="inlineStr">
        <is>
          <t>Séparer la vue du contrôleur avec FXML</t>
        </is>
      </c>
      <c r="D72" s="35" t="inlineStr">
        <is>
          <t>C.1</t>
        </is>
      </c>
      <c r="E72" s="11" t="inlineStr">
        <is>
          <t>FX.9</t>
        </is>
      </c>
    </row>
    <row r="73" ht="22" customHeight="1">
      <c r="A73" s="34" t="inlineStr">
        <is>
          <t>FX</t>
        </is>
      </c>
      <c r="B73" s="13" t="inlineStr">
        <is>
          <t>FX.g</t>
        </is>
      </c>
      <c r="C73" s="12" t="inlineStr">
        <is>
          <t>Observer une propriété par un ChangeListener (facultatif)</t>
        </is>
      </c>
      <c r="D73" s="35" t="inlineStr">
        <is>
          <t>A.5</t>
        </is>
      </c>
      <c r="E73" s="11" t="inlineStr">
        <is>
          <t>FX.6, FX.7</t>
        </is>
      </c>
    </row>
    <row r="74" ht="22" customHeight="1">
      <c r="A74" s="34" t="inlineStr">
        <is>
          <t>FX</t>
        </is>
      </c>
      <c r="B74" s="13" t="inlineStr">
        <is>
          <t>FX.h</t>
        </is>
      </c>
      <c r="C74" s="12" t="inlineStr">
        <is>
          <t>Lier des valeurs par un binding (facultatif)</t>
        </is>
      </c>
      <c r="D74" s="35" t="inlineStr">
        <is>
          <t>A.5</t>
        </is>
      </c>
      <c r="E74" s="11" t="inlineStr">
        <is>
          <t>FX.8</t>
        </is>
      </c>
    </row>
    <row r="75" ht="22" customHeight="1">
      <c r="A75" s="34" t="inlineStr">
        <is>
          <t>FIC</t>
        </is>
      </c>
      <c r="B75" s="13" t="inlineStr">
        <is>
          <t>FIC.a</t>
        </is>
      </c>
      <c r="C75" s="12" t="inlineStr">
        <is>
          <t>Modéliser un petit domaine à trois classes liées</t>
        </is>
      </c>
      <c r="D75" s="35" t="inlineStr">
        <is>
          <t>A.1</t>
        </is>
      </c>
      <c r="E75" s="11" t="inlineStr">
        <is>
          <t>FIC.1</t>
        </is>
      </c>
    </row>
    <row r="76" ht="22" customHeight="1">
      <c r="A76" s="34" t="inlineStr">
        <is>
          <t>FIC</t>
        </is>
      </c>
      <c r="B76" s="13" t="inlineStr">
        <is>
          <t>FIC.b</t>
        </is>
      </c>
      <c r="C76" s="12" t="inlineStr">
        <is>
          <t>Protéger une collection interne rendue par un accesseur</t>
        </is>
      </c>
      <c r="D76" s="35" t="inlineStr">
        <is>
          <t>C.1</t>
        </is>
      </c>
      <c r="E76" s="11" t="inlineStr">
        <is>
          <t>FIC.1</t>
        </is>
      </c>
    </row>
    <row r="77" ht="22" customHeight="1">
      <c r="A77" s="34" t="inlineStr">
        <is>
          <t>FIC</t>
        </is>
      </c>
      <c r="B77" s="13" t="inlineStr">
        <is>
          <t>FIC.c</t>
        </is>
      </c>
      <c r="C77" s="12" t="inlineStr">
        <is>
          <t>Sérialiser des objets et les relire</t>
        </is>
      </c>
      <c r="D77" s="35" t="inlineStr">
        <is>
          <t>A.5</t>
        </is>
      </c>
      <c r="E77" s="11" t="inlineStr">
        <is>
          <t>FIC.2</t>
        </is>
      </c>
    </row>
    <row r="78" ht="22" customHeight="1">
      <c r="A78" s="34" t="inlineStr">
        <is>
          <t>FIC</t>
        </is>
      </c>
      <c r="B78" s="13" t="inlineStr">
        <is>
          <t>FIC.d</t>
        </is>
      </c>
      <c r="C78" s="12" t="inlineStr">
        <is>
          <t>Lire et écrire un fichier texte</t>
        </is>
      </c>
      <c r="D78" s="35" t="inlineStr">
        <is>
          <t>A.5</t>
        </is>
      </c>
      <c r="E78" s="11" t="inlineStr">
        <is>
          <t>FIC.3</t>
        </is>
      </c>
    </row>
    <row r="79" ht="22" customHeight="1">
      <c r="A79" s="34" t="inlineStr">
        <is>
          <t>FIC</t>
        </is>
      </c>
      <c r="B79" s="13" t="inlineStr">
        <is>
          <t>FIC.e</t>
        </is>
      </c>
      <c r="C79" s="12" t="inlineStr">
        <is>
          <t>Choisir un format en fonction de qui lira le fichier</t>
        </is>
      </c>
      <c r="D79" s="35" t="inlineStr">
        <is>
          <t>C.1</t>
        </is>
      </c>
      <c r="E79" s="11" t="inlineStr">
        <is>
          <t>FIC.3</t>
        </is>
      </c>
    </row>
    <row r="80" ht="22" customHeight="1">
      <c r="A80" s="36" t="inlineStr">
        <is>
          <t>REC</t>
        </is>
      </c>
      <c r="B80" s="37" t="inlineStr">
        <is>
          <t>REC.a</t>
        </is>
      </c>
      <c r="C80" s="38" t="inlineStr">
        <is>
          <t>Mobiliser plusieurs modules sur un même énoncé</t>
        </is>
      </c>
      <c r="D80" s="35" t="inlineStr">
        <is>
          <t>A.1</t>
        </is>
      </c>
      <c r="E80" s="39" t="inlineStr">
        <is>
          <t>à décider</t>
        </is>
      </c>
    </row>
    <row r="81" ht="22" customHeight="1">
      <c r="A81" s="36" t="inlineStr">
        <is>
          <t>REC</t>
        </is>
      </c>
      <c r="B81" s="37" t="inlineStr">
        <is>
          <t>REC.b</t>
        </is>
      </c>
      <c r="C81" s="38" t="inlineStr">
        <is>
          <t>Se préparer au format de l'examen</t>
        </is>
      </c>
      <c r="D81" s="35" t="inlineStr">
        <is>
          <t>D.10</t>
        </is>
      </c>
      <c r="E81" s="39" t="inlineStr">
        <is>
          <t>à décider</t>
        </is>
      </c>
    </row>
    <row r="83">
      <c r="A83" s="25" t="inlineStr">
        <is>
          <t>Fond rose : aucun exercice n'existe encore pour ce module. La couleur se déduit du disque, elle ne se décrète pas.</t>
        </is>
      </c>
    </row>
  </sheetData>
  <autoFilter ref="A4:E81"/>
  <mergeCells count="2">
    <mergeCell ref="A2:E2"/>
    <mergeCell ref="A1:E1"/>
  </mergeCells>
  <dataValidations count="1">
    <dataValidation sqref="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showDropDown="0" showInputMessage="0" showErrorMessage="0" allowBlank="1" type="list">
      <formula1>"A.1,A.2,A.3,A.4,A.5,A.6,B.1,B.2,B.3,C.1,C.2,D.1,D.2,D.3,D.4,D.5,D.6,D.7,D.8,D.9,D.10,D.11,D.12"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2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0" customWidth="1" min="1" max="1"/>
    <col width="50"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8" customWidth="1" min="19" max="19"/>
    <col width="17" customWidth="1" min="20" max="20"/>
  </cols>
  <sheetData>
    <row r="1" ht="26" customHeight="1">
      <c r="A1" s="1" t="inlineStr">
        <is>
          <t>Couverture des objectifs de l'examen par les modules</t>
        </is>
      </c>
    </row>
    <row r="2" ht="18" customHeight="1">
      <c r="A2" s="2" t="inlineStr">
        <is>
          <t>Chaque cellule compte les objectifs d'apprentissage rattachés. Tout se recalcule depuis la feuille précédente.</t>
        </is>
      </c>
    </row>
    <row r="4" ht="32" customHeight="1">
      <c r="A4" s="3" t="inlineStr">
        <is>
          <t>Code</t>
        </is>
      </c>
      <c r="B4" s="3" t="inlineStr">
        <is>
          <t>Objectif de l'examen</t>
        </is>
      </c>
      <c r="C4" s="3" t="inlineStr">
        <is>
          <t>POO</t>
        </is>
      </c>
      <c r="D4" s="3" t="inlineStr">
        <is>
          <t>STA</t>
        </is>
      </c>
      <c r="E4" s="3" t="inlineStr">
        <is>
          <t>TMP</t>
        </is>
      </c>
      <c r="F4" s="3" t="inlineStr">
        <is>
          <t>PKG</t>
        </is>
      </c>
      <c r="G4" s="3" t="inlineStr">
        <is>
          <t>TAB</t>
        </is>
      </c>
      <c r="H4" s="3" t="inlineStr">
        <is>
          <t>ENU</t>
        </is>
      </c>
      <c r="I4" s="3" t="inlineStr">
        <is>
          <t>ABS</t>
        </is>
      </c>
      <c r="J4" s="3" t="inlineStr">
        <is>
          <t>ITF</t>
        </is>
      </c>
      <c r="K4" s="3" t="inlineStr">
        <is>
          <t>COL</t>
        </is>
      </c>
      <c r="L4" s="3" t="inlineStr">
        <is>
          <t>EXC</t>
        </is>
      </c>
      <c r="M4" s="3" t="inlineStr">
        <is>
          <t>JUN</t>
        </is>
      </c>
      <c r="N4" s="3" t="inlineStr">
        <is>
          <t>GEN</t>
        </is>
      </c>
      <c r="O4" s="3" t="inlineStr">
        <is>
          <t>LAM</t>
        </is>
      </c>
      <c r="P4" s="3" t="inlineStr">
        <is>
          <t>FX</t>
        </is>
      </c>
      <c r="Q4" s="3" t="inlineStr">
        <is>
          <t>FIC</t>
        </is>
      </c>
      <c r="R4" s="3" t="inlineStr">
        <is>
          <t>REC</t>
        </is>
      </c>
      <c r="S4" s="3" t="inlineStr">
        <is>
          <t>Total</t>
        </is>
      </c>
      <c r="T4" s="3" t="inlineStr">
        <is>
          <t>État</t>
        </is>
      </c>
    </row>
    <row r="5" ht="28" customHeight="1">
      <c r="A5" s="40" t="inlineStr">
        <is>
          <t>A.1</t>
        </is>
      </c>
      <c r="B5" s="41" t="inlineStr">
        <is>
          <t>Pouvoir définir et implémenter des classes et des objets Java simples</t>
        </is>
      </c>
      <c r="C5" s="42">
        <f>COUNTIFS('Objectifs par module'!$A$5:$A$81,C$4,'Objectifs par module'!$D$5:$D$81,$A5)</f>
        <v/>
      </c>
      <c r="D5" s="42">
        <f>COUNTIFS('Objectifs par module'!$A$5:$A$81,D$4,'Objectifs par module'!$D$5:$D$81,$A5)</f>
        <v/>
      </c>
      <c r="E5" s="42">
        <f>COUNTIFS('Objectifs par module'!$A$5:$A$81,E$4,'Objectifs par module'!$D$5:$D$81,$A5)</f>
        <v/>
      </c>
      <c r="F5" s="42">
        <f>COUNTIFS('Objectifs par module'!$A$5:$A$81,F$4,'Objectifs par module'!$D$5:$D$81,$A5)</f>
        <v/>
      </c>
      <c r="G5" s="42">
        <f>COUNTIFS('Objectifs par module'!$A$5:$A$81,G$4,'Objectifs par module'!$D$5:$D$81,$A5)</f>
        <v/>
      </c>
      <c r="H5" s="42">
        <f>COUNTIFS('Objectifs par module'!$A$5:$A$81,H$4,'Objectifs par module'!$D$5:$D$81,$A5)</f>
        <v/>
      </c>
      <c r="I5" s="42">
        <f>COUNTIFS('Objectifs par module'!$A$5:$A$81,I$4,'Objectifs par module'!$D$5:$D$81,$A5)</f>
        <v/>
      </c>
      <c r="J5" s="42">
        <f>COUNTIFS('Objectifs par module'!$A$5:$A$81,J$4,'Objectifs par module'!$D$5:$D$81,$A5)</f>
        <v/>
      </c>
      <c r="K5" s="42">
        <f>COUNTIFS('Objectifs par module'!$A$5:$A$81,K$4,'Objectifs par module'!$D$5:$D$81,$A5)</f>
        <v/>
      </c>
      <c r="L5" s="42">
        <f>COUNTIFS('Objectifs par module'!$A$5:$A$81,L$4,'Objectifs par module'!$D$5:$D$81,$A5)</f>
        <v/>
      </c>
      <c r="M5" s="42">
        <f>COUNTIFS('Objectifs par module'!$A$5:$A$81,M$4,'Objectifs par module'!$D$5:$D$81,$A5)</f>
        <v/>
      </c>
      <c r="N5" s="42">
        <f>COUNTIFS('Objectifs par module'!$A$5:$A$81,N$4,'Objectifs par module'!$D$5:$D$81,$A5)</f>
        <v/>
      </c>
      <c r="O5" s="42">
        <f>COUNTIFS('Objectifs par module'!$A$5:$A$81,O$4,'Objectifs par module'!$D$5:$D$81,$A5)</f>
        <v/>
      </c>
      <c r="P5" s="42">
        <f>COUNTIFS('Objectifs par module'!$A$5:$A$81,P$4,'Objectifs par module'!$D$5:$D$81,$A5)</f>
        <v/>
      </c>
      <c r="Q5" s="42">
        <f>COUNTIFS('Objectifs par module'!$A$5:$A$81,Q$4,'Objectifs par module'!$D$5:$D$81,$A5)</f>
        <v/>
      </c>
      <c r="R5" s="42">
        <f>COUNTIFS('Objectifs par module'!$A$5:$A$81,R$4,'Objectifs par module'!$D$5:$D$81,$A5)</f>
        <v/>
      </c>
      <c r="S5" s="18">
        <f>SUM(C5:R5)</f>
        <v/>
      </c>
      <c r="T5" s="42">
        <f>IF(S5=0,"NON COUVERT",IF(S5=1,"un seul module","couvert"))</f>
        <v/>
      </c>
    </row>
    <row r="6" ht="28" customHeight="1">
      <c r="A6" s="40" t="inlineStr">
        <is>
          <t>A.2</t>
        </is>
      </c>
      <c r="B6" s="41" t="inlineStr">
        <is>
          <t>Pouvoir compléter des classes Java implémentées par un tiers</t>
        </is>
      </c>
      <c r="C6" s="42">
        <f>COUNTIFS('Objectifs par module'!$A$5:$A$81,C$4,'Objectifs par module'!$D$5:$D$81,$A6)</f>
        <v/>
      </c>
      <c r="D6" s="42">
        <f>COUNTIFS('Objectifs par module'!$A$5:$A$81,D$4,'Objectifs par module'!$D$5:$D$81,$A6)</f>
        <v/>
      </c>
      <c r="E6" s="42">
        <f>COUNTIFS('Objectifs par module'!$A$5:$A$81,E$4,'Objectifs par module'!$D$5:$D$81,$A6)</f>
        <v/>
      </c>
      <c r="F6" s="42">
        <f>COUNTIFS('Objectifs par module'!$A$5:$A$81,F$4,'Objectifs par module'!$D$5:$D$81,$A6)</f>
        <v/>
      </c>
      <c r="G6" s="42">
        <f>COUNTIFS('Objectifs par module'!$A$5:$A$81,G$4,'Objectifs par module'!$D$5:$D$81,$A6)</f>
        <v/>
      </c>
      <c r="H6" s="42">
        <f>COUNTIFS('Objectifs par module'!$A$5:$A$81,H$4,'Objectifs par module'!$D$5:$D$81,$A6)</f>
        <v/>
      </c>
      <c r="I6" s="42">
        <f>COUNTIFS('Objectifs par module'!$A$5:$A$81,I$4,'Objectifs par module'!$D$5:$D$81,$A6)</f>
        <v/>
      </c>
      <c r="J6" s="42">
        <f>COUNTIFS('Objectifs par module'!$A$5:$A$81,J$4,'Objectifs par module'!$D$5:$D$81,$A6)</f>
        <v/>
      </c>
      <c r="K6" s="42">
        <f>COUNTIFS('Objectifs par module'!$A$5:$A$81,K$4,'Objectifs par module'!$D$5:$D$81,$A6)</f>
        <v/>
      </c>
      <c r="L6" s="42">
        <f>COUNTIFS('Objectifs par module'!$A$5:$A$81,L$4,'Objectifs par module'!$D$5:$D$81,$A6)</f>
        <v/>
      </c>
      <c r="M6" s="42">
        <f>COUNTIFS('Objectifs par module'!$A$5:$A$81,M$4,'Objectifs par module'!$D$5:$D$81,$A6)</f>
        <v/>
      </c>
      <c r="N6" s="42">
        <f>COUNTIFS('Objectifs par module'!$A$5:$A$81,N$4,'Objectifs par module'!$D$5:$D$81,$A6)</f>
        <v/>
      </c>
      <c r="O6" s="42">
        <f>COUNTIFS('Objectifs par module'!$A$5:$A$81,O$4,'Objectifs par module'!$D$5:$D$81,$A6)</f>
        <v/>
      </c>
      <c r="P6" s="42">
        <f>COUNTIFS('Objectifs par module'!$A$5:$A$81,P$4,'Objectifs par module'!$D$5:$D$81,$A6)</f>
        <v/>
      </c>
      <c r="Q6" s="42">
        <f>COUNTIFS('Objectifs par module'!$A$5:$A$81,Q$4,'Objectifs par module'!$D$5:$D$81,$A6)</f>
        <v/>
      </c>
      <c r="R6" s="42">
        <f>COUNTIFS('Objectifs par module'!$A$5:$A$81,R$4,'Objectifs par module'!$D$5:$D$81,$A6)</f>
        <v/>
      </c>
      <c r="S6" s="18">
        <f>SUM(C6:R6)</f>
        <v/>
      </c>
      <c r="T6" s="42">
        <f>IF(S6=0,"NON COUVERT",IF(S6=1,"un seul module","couvert"))</f>
        <v/>
      </c>
    </row>
    <row r="7" ht="28" customHeight="1">
      <c r="A7" s="40" t="inlineStr">
        <is>
          <t>A.3</t>
        </is>
      </c>
      <c r="B7" s="41" t="inlineStr">
        <is>
          <t>Pouvoir utiliser et interagir avec des classes et objets Java existants</t>
        </is>
      </c>
      <c r="C7" s="42">
        <f>COUNTIFS('Objectifs par module'!$A$5:$A$81,C$4,'Objectifs par module'!$D$5:$D$81,$A7)</f>
        <v/>
      </c>
      <c r="D7" s="42">
        <f>COUNTIFS('Objectifs par module'!$A$5:$A$81,D$4,'Objectifs par module'!$D$5:$D$81,$A7)</f>
        <v/>
      </c>
      <c r="E7" s="42">
        <f>COUNTIFS('Objectifs par module'!$A$5:$A$81,E$4,'Objectifs par module'!$D$5:$D$81,$A7)</f>
        <v/>
      </c>
      <c r="F7" s="42">
        <f>COUNTIFS('Objectifs par module'!$A$5:$A$81,F$4,'Objectifs par module'!$D$5:$D$81,$A7)</f>
        <v/>
      </c>
      <c r="G7" s="42">
        <f>COUNTIFS('Objectifs par module'!$A$5:$A$81,G$4,'Objectifs par module'!$D$5:$D$81,$A7)</f>
        <v/>
      </c>
      <c r="H7" s="42">
        <f>COUNTIFS('Objectifs par module'!$A$5:$A$81,H$4,'Objectifs par module'!$D$5:$D$81,$A7)</f>
        <v/>
      </c>
      <c r="I7" s="42">
        <f>COUNTIFS('Objectifs par module'!$A$5:$A$81,I$4,'Objectifs par module'!$D$5:$D$81,$A7)</f>
        <v/>
      </c>
      <c r="J7" s="42">
        <f>COUNTIFS('Objectifs par module'!$A$5:$A$81,J$4,'Objectifs par module'!$D$5:$D$81,$A7)</f>
        <v/>
      </c>
      <c r="K7" s="42">
        <f>COUNTIFS('Objectifs par module'!$A$5:$A$81,K$4,'Objectifs par module'!$D$5:$D$81,$A7)</f>
        <v/>
      </c>
      <c r="L7" s="42">
        <f>COUNTIFS('Objectifs par module'!$A$5:$A$81,L$4,'Objectifs par module'!$D$5:$D$81,$A7)</f>
        <v/>
      </c>
      <c r="M7" s="42">
        <f>COUNTIFS('Objectifs par module'!$A$5:$A$81,M$4,'Objectifs par module'!$D$5:$D$81,$A7)</f>
        <v/>
      </c>
      <c r="N7" s="42">
        <f>COUNTIFS('Objectifs par module'!$A$5:$A$81,N$4,'Objectifs par module'!$D$5:$D$81,$A7)</f>
        <v/>
      </c>
      <c r="O7" s="42">
        <f>COUNTIFS('Objectifs par module'!$A$5:$A$81,O$4,'Objectifs par module'!$D$5:$D$81,$A7)</f>
        <v/>
      </c>
      <c r="P7" s="42">
        <f>COUNTIFS('Objectifs par module'!$A$5:$A$81,P$4,'Objectifs par module'!$D$5:$D$81,$A7)</f>
        <v/>
      </c>
      <c r="Q7" s="42">
        <f>COUNTIFS('Objectifs par module'!$A$5:$A$81,Q$4,'Objectifs par module'!$D$5:$D$81,$A7)</f>
        <v/>
      </c>
      <c r="R7" s="42">
        <f>COUNTIFS('Objectifs par module'!$A$5:$A$81,R$4,'Objectifs par module'!$D$5:$D$81,$A7)</f>
        <v/>
      </c>
      <c r="S7" s="18">
        <f>SUM(C7:R7)</f>
        <v/>
      </c>
      <c r="T7" s="42">
        <f>IF(S7=0,"NON COUVERT",IF(S7=1,"un seul module","couvert"))</f>
        <v/>
      </c>
    </row>
    <row r="8" ht="28" customHeight="1">
      <c r="A8" s="40" t="inlineStr">
        <is>
          <t>A.4</t>
        </is>
      </c>
      <c r="B8" s="41" t="inlineStr">
        <is>
          <t>Pouvoir dériver de nouvelles classes par héritage d'une classe Java existante</t>
        </is>
      </c>
      <c r="C8" s="42">
        <f>COUNTIFS('Objectifs par module'!$A$5:$A$81,C$4,'Objectifs par module'!$D$5:$D$81,$A8)</f>
        <v/>
      </c>
      <c r="D8" s="42">
        <f>COUNTIFS('Objectifs par module'!$A$5:$A$81,D$4,'Objectifs par module'!$D$5:$D$81,$A8)</f>
        <v/>
      </c>
      <c r="E8" s="42">
        <f>COUNTIFS('Objectifs par module'!$A$5:$A$81,E$4,'Objectifs par module'!$D$5:$D$81,$A8)</f>
        <v/>
      </c>
      <c r="F8" s="42">
        <f>COUNTIFS('Objectifs par module'!$A$5:$A$81,F$4,'Objectifs par module'!$D$5:$D$81,$A8)</f>
        <v/>
      </c>
      <c r="G8" s="42">
        <f>COUNTIFS('Objectifs par module'!$A$5:$A$81,G$4,'Objectifs par module'!$D$5:$D$81,$A8)</f>
        <v/>
      </c>
      <c r="H8" s="42">
        <f>COUNTIFS('Objectifs par module'!$A$5:$A$81,H$4,'Objectifs par module'!$D$5:$D$81,$A8)</f>
        <v/>
      </c>
      <c r="I8" s="42">
        <f>COUNTIFS('Objectifs par module'!$A$5:$A$81,I$4,'Objectifs par module'!$D$5:$D$81,$A8)</f>
        <v/>
      </c>
      <c r="J8" s="42">
        <f>COUNTIFS('Objectifs par module'!$A$5:$A$81,J$4,'Objectifs par module'!$D$5:$D$81,$A8)</f>
        <v/>
      </c>
      <c r="K8" s="42">
        <f>COUNTIFS('Objectifs par module'!$A$5:$A$81,K$4,'Objectifs par module'!$D$5:$D$81,$A8)</f>
        <v/>
      </c>
      <c r="L8" s="42">
        <f>COUNTIFS('Objectifs par module'!$A$5:$A$81,L$4,'Objectifs par module'!$D$5:$D$81,$A8)</f>
        <v/>
      </c>
      <c r="M8" s="42">
        <f>COUNTIFS('Objectifs par module'!$A$5:$A$81,M$4,'Objectifs par module'!$D$5:$D$81,$A8)</f>
        <v/>
      </c>
      <c r="N8" s="42">
        <f>COUNTIFS('Objectifs par module'!$A$5:$A$81,N$4,'Objectifs par module'!$D$5:$D$81,$A8)</f>
        <v/>
      </c>
      <c r="O8" s="42">
        <f>COUNTIFS('Objectifs par module'!$A$5:$A$81,O$4,'Objectifs par module'!$D$5:$D$81,$A8)</f>
        <v/>
      </c>
      <c r="P8" s="42">
        <f>COUNTIFS('Objectifs par module'!$A$5:$A$81,P$4,'Objectifs par module'!$D$5:$D$81,$A8)</f>
        <v/>
      </c>
      <c r="Q8" s="42">
        <f>COUNTIFS('Objectifs par module'!$A$5:$A$81,Q$4,'Objectifs par module'!$D$5:$D$81,$A8)</f>
        <v/>
      </c>
      <c r="R8" s="42">
        <f>COUNTIFS('Objectifs par module'!$A$5:$A$81,R$4,'Objectifs par module'!$D$5:$D$81,$A8)</f>
        <v/>
      </c>
      <c r="S8" s="18">
        <f>SUM(C8:R8)</f>
        <v/>
      </c>
      <c r="T8" s="42">
        <f>IF(S8=0,"NON COUVERT",IF(S8=1,"un seul module","couvert"))</f>
        <v/>
      </c>
    </row>
    <row r="9" ht="28" customHeight="1">
      <c r="A9" s="40" t="inlineStr">
        <is>
          <t>A.5</t>
        </is>
      </c>
      <c r="B9" s="41" t="inlineStr">
        <is>
          <t>Pouvoir utiliser les classes du JDK pour accéder à des fichiers et pour réaliser une application disposant d'une interface graphique simple (JavaFX)</t>
        </is>
      </c>
      <c r="C9" s="42">
        <f>COUNTIFS('Objectifs par module'!$A$5:$A$81,C$4,'Objectifs par module'!$D$5:$D$81,$A9)</f>
        <v/>
      </c>
      <c r="D9" s="42">
        <f>COUNTIFS('Objectifs par module'!$A$5:$A$81,D$4,'Objectifs par module'!$D$5:$D$81,$A9)</f>
        <v/>
      </c>
      <c r="E9" s="42">
        <f>COUNTIFS('Objectifs par module'!$A$5:$A$81,E$4,'Objectifs par module'!$D$5:$D$81,$A9)</f>
        <v/>
      </c>
      <c r="F9" s="42">
        <f>COUNTIFS('Objectifs par module'!$A$5:$A$81,F$4,'Objectifs par module'!$D$5:$D$81,$A9)</f>
        <v/>
      </c>
      <c r="G9" s="42">
        <f>COUNTIFS('Objectifs par module'!$A$5:$A$81,G$4,'Objectifs par module'!$D$5:$D$81,$A9)</f>
        <v/>
      </c>
      <c r="H9" s="42">
        <f>COUNTIFS('Objectifs par module'!$A$5:$A$81,H$4,'Objectifs par module'!$D$5:$D$81,$A9)</f>
        <v/>
      </c>
      <c r="I9" s="42">
        <f>COUNTIFS('Objectifs par module'!$A$5:$A$81,I$4,'Objectifs par module'!$D$5:$D$81,$A9)</f>
        <v/>
      </c>
      <c r="J9" s="42">
        <f>COUNTIFS('Objectifs par module'!$A$5:$A$81,J$4,'Objectifs par module'!$D$5:$D$81,$A9)</f>
        <v/>
      </c>
      <c r="K9" s="42">
        <f>COUNTIFS('Objectifs par module'!$A$5:$A$81,K$4,'Objectifs par module'!$D$5:$D$81,$A9)</f>
        <v/>
      </c>
      <c r="L9" s="42">
        <f>COUNTIFS('Objectifs par module'!$A$5:$A$81,L$4,'Objectifs par module'!$D$5:$D$81,$A9)</f>
        <v/>
      </c>
      <c r="M9" s="42">
        <f>COUNTIFS('Objectifs par module'!$A$5:$A$81,M$4,'Objectifs par module'!$D$5:$D$81,$A9)</f>
        <v/>
      </c>
      <c r="N9" s="42">
        <f>COUNTIFS('Objectifs par module'!$A$5:$A$81,N$4,'Objectifs par module'!$D$5:$D$81,$A9)</f>
        <v/>
      </c>
      <c r="O9" s="42">
        <f>COUNTIFS('Objectifs par module'!$A$5:$A$81,O$4,'Objectifs par module'!$D$5:$D$81,$A9)</f>
        <v/>
      </c>
      <c r="P9" s="42">
        <f>COUNTIFS('Objectifs par module'!$A$5:$A$81,P$4,'Objectifs par module'!$D$5:$D$81,$A9)</f>
        <v/>
      </c>
      <c r="Q9" s="42">
        <f>COUNTIFS('Objectifs par module'!$A$5:$A$81,Q$4,'Objectifs par module'!$D$5:$D$81,$A9)</f>
        <v/>
      </c>
      <c r="R9" s="42">
        <f>COUNTIFS('Objectifs par module'!$A$5:$A$81,R$4,'Objectifs par module'!$D$5:$D$81,$A9)</f>
        <v/>
      </c>
      <c r="S9" s="18">
        <f>SUM(C9:R9)</f>
        <v/>
      </c>
      <c r="T9" s="42">
        <f>IF(S9=0,"NON COUVERT",IF(S9=1,"un seul module","couvert"))</f>
        <v/>
      </c>
    </row>
    <row r="10" ht="28" customHeight="1">
      <c r="A10" s="40" t="inlineStr">
        <is>
          <t>A.6</t>
        </is>
      </c>
      <c r="B10" s="41" t="inlineStr">
        <is>
          <t>Pouvoir démontrer, au travers d'un exercice simple, sa compréhension du concept et du fonctionnement des expressions lambda introduites par Java 8</t>
        </is>
      </c>
      <c r="C10" s="42">
        <f>COUNTIFS('Objectifs par module'!$A$5:$A$81,C$4,'Objectifs par module'!$D$5:$D$81,$A10)</f>
        <v/>
      </c>
      <c r="D10" s="42">
        <f>COUNTIFS('Objectifs par module'!$A$5:$A$81,D$4,'Objectifs par module'!$D$5:$D$81,$A10)</f>
        <v/>
      </c>
      <c r="E10" s="42">
        <f>COUNTIFS('Objectifs par module'!$A$5:$A$81,E$4,'Objectifs par module'!$D$5:$D$81,$A10)</f>
        <v/>
      </c>
      <c r="F10" s="42">
        <f>COUNTIFS('Objectifs par module'!$A$5:$A$81,F$4,'Objectifs par module'!$D$5:$D$81,$A10)</f>
        <v/>
      </c>
      <c r="G10" s="42">
        <f>COUNTIFS('Objectifs par module'!$A$5:$A$81,G$4,'Objectifs par module'!$D$5:$D$81,$A10)</f>
        <v/>
      </c>
      <c r="H10" s="42">
        <f>COUNTIFS('Objectifs par module'!$A$5:$A$81,H$4,'Objectifs par module'!$D$5:$D$81,$A10)</f>
        <v/>
      </c>
      <c r="I10" s="42">
        <f>COUNTIFS('Objectifs par module'!$A$5:$A$81,I$4,'Objectifs par module'!$D$5:$D$81,$A10)</f>
        <v/>
      </c>
      <c r="J10" s="42">
        <f>COUNTIFS('Objectifs par module'!$A$5:$A$81,J$4,'Objectifs par module'!$D$5:$D$81,$A10)</f>
        <v/>
      </c>
      <c r="K10" s="42">
        <f>COUNTIFS('Objectifs par module'!$A$5:$A$81,K$4,'Objectifs par module'!$D$5:$D$81,$A10)</f>
        <v/>
      </c>
      <c r="L10" s="42">
        <f>COUNTIFS('Objectifs par module'!$A$5:$A$81,L$4,'Objectifs par module'!$D$5:$D$81,$A10)</f>
        <v/>
      </c>
      <c r="M10" s="42">
        <f>COUNTIFS('Objectifs par module'!$A$5:$A$81,M$4,'Objectifs par module'!$D$5:$D$81,$A10)</f>
        <v/>
      </c>
      <c r="N10" s="42">
        <f>COUNTIFS('Objectifs par module'!$A$5:$A$81,N$4,'Objectifs par module'!$D$5:$D$81,$A10)</f>
        <v/>
      </c>
      <c r="O10" s="42">
        <f>COUNTIFS('Objectifs par module'!$A$5:$A$81,O$4,'Objectifs par module'!$D$5:$D$81,$A10)</f>
        <v/>
      </c>
      <c r="P10" s="42">
        <f>COUNTIFS('Objectifs par module'!$A$5:$A$81,P$4,'Objectifs par module'!$D$5:$D$81,$A10)</f>
        <v/>
      </c>
      <c r="Q10" s="42">
        <f>COUNTIFS('Objectifs par module'!$A$5:$A$81,Q$4,'Objectifs par module'!$D$5:$D$81,$A10)</f>
        <v/>
      </c>
      <c r="R10" s="42">
        <f>COUNTIFS('Objectifs par module'!$A$5:$A$81,R$4,'Objectifs par module'!$D$5:$D$81,$A10)</f>
        <v/>
      </c>
      <c r="S10" s="18">
        <f>SUM(C10:R10)</f>
        <v/>
      </c>
      <c r="T10" s="42">
        <f>IF(S10=0,"NON COUVERT",IF(S10=1,"un seul module","couvert"))</f>
        <v/>
      </c>
    </row>
    <row r="11" ht="28" customHeight="1">
      <c r="A11" s="40" t="inlineStr">
        <is>
          <t>B.1</t>
        </is>
      </c>
      <c r="B11" s="41" t="inlineStr">
        <is>
          <t>Pouvoir implémenter des classes de test simples (JUnit) sur base d'une classe implémentée par un tiers et/ou de spécifications techniques</t>
        </is>
      </c>
      <c r="C11" s="42">
        <f>COUNTIFS('Objectifs par module'!$A$5:$A$81,C$4,'Objectifs par module'!$D$5:$D$81,$A11)</f>
        <v/>
      </c>
      <c r="D11" s="42">
        <f>COUNTIFS('Objectifs par module'!$A$5:$A$81,D$4,'Objectifs par module'!$D$5:$D$81,$A11)</f>
        <v/>
      </c>
      <c r="E11" s="42">
        <f>COUNTIFS('Objectifs par module'!$A$5:$A$81,E$4,'Objectifs par module'!$D$5:$D$81,$A11)</f>
        <v/>
      </c>
      <c r="F11" s="42">
        <f>COUNTIFS('Objectifs par module'!$A$5:$A$81,F$4,'Objectifs par module'!$D$5:$D$81,$A11)</f>
        <v/>
      </c>
      <c r="G11" s="42">
        <f>COUNTIFS('Objectifs par module'!$A$5:$A$81,G$4,'Objectifs par module'!$D$5:$D$81,$A11)</f>
        <v/>
      </c>
      <c r="H11" s="42">
        <f>COUNTIFS('Objectifs par module'!$A$5:$A$81,H$4,'Objectifs par module'!$D$5:$D$81,$A11)</f>
        <v/>
      </c>
      <c r="I11" s="42">
        <f>COUNTIFS('Objectifs par module'!$A$5:$A$81,I$4,'Objectifs par module'!$D$5:$D$81,$A11)</f>
        <v/>
      </c>
      <c r="J11" s="42">
        <f>COUNTIFS('Objectifs par module'!$A$5:$A$81,J$4,'Objectifs par module'!$D$5:$D$81,$A11)</f>
        <v/>
      </c>
      <c r="K11" s="42">
        <f>COUNTIFS('Objectifs par module'!$A$5:$A$81,K$4,'Objectifs par module'!$D$5:$D$81,$A11)</f>
        <v/>
      </c>
      <c r="L11" s="42">
        <f>COUNTIFS('Objectifs par module'!$A$5:$A$81,L$4,'Objectifs par module'!$D$5:$D$81,$A11)</f>
        <v/>
      </c>
      <c r="M11" s="42">
        <f>COUNTIFS('Objectifs par module'!$A$5:$A$81,M$4,'Objectifs par module'!$D$5:$D$81,$A11)</f>
        <v/>
      </c>
      <c r="N11" s="42">
        <f>COUNTIFS('Objectifs par module'!$A$5:$A$81,N$4,'Objectifs par module'!$D$5:$D$81,$A11)</f>
        <v/>
      </c>
      <c r="O11" s="42">
        <f>COUNTIFS('Objectifs par module'!$A$5:$A$81,O$4,'Objectifs par module'!$D$5:$D$81,$A11)</f>
        <v/>
      </c>
      <c r="P11" s="42">
        <f>COUNTIFS('Objectifs par module'!$A$5:$A$81,P$4,'Objectifs par module'!$D$5:$D$81,$A11)</f>
        <v/>
      </c>
      <c r="Q11" s="42">
        <f>COUNTIFS('Objectifs par module'!$A$5:$A$81,Q$4,'Objectifs par module'!$D$5:$D$81,$A11)</f>
        <v/>
      </c>
      <c r="R11" s="42">
        <f>COUNTIFS('Objectifs par module'!$A$5:$A$81,R$4,'Objectifs par module'!$D$5:$D$81,$A11)</f>
        <v/>
      </c>
      <c r="S11" s="18">
        <f>SUM(C11:R11)</f>
        <v/>
      </c>
      <c r="T11" s="42">
        <f>IF(S11=0,"NON COUVERT",IF(S11=1,"un seul module","couvert"))</f>
        <v/>
      </c>
    </row>
    <row r="12" ht="28" customHeight="1">
      <c r="A12" s="40" t="inlineStr">
        <is>
          <t>B.2</t>
        </is>
      </c>
      <c r="B12" s="41" t="inlineStr">
        <is>
          <t>Pouvoir implémenter des classes et objets Java simples et les classes de test correspondantes</t>
        </is>
      </c>
      <c r="C12" s="42">
        <f>COUNTIFS('Objectifs par module'!$A$5:$A$81,C$4,'Objectifs par module'!$D$5:$D$81,$A12)</f>
        <v/>
      </c>
      <c r="D12" s="42">
        <f>COUNTIFS('Objectifs par module'!$A$5:$A$81,D$4,'Objectifs par module'!$D$5:$D$81,$A12)</f>
        <v/>
      </c>
      <c r="E12" s="42">
        <f>COUNTIFS('Objectifs par module'!$A$5:$A$81,E$4,'Objectifs par module'!$D$5:$D$81,$A12)</f>
        <v/>
      </c>
      <c r="F12" s="42">
        <f>COUNTIFS('Objectifs par module'!$A$5:$A$81,F$4,'Objectifs par module'!$D$5:$D$81,$A12)</f>
        <v/>
      </c>
      <c r="G12" s="42">
        <f>COUNTIFS('Objectifs par module'!$A$5:$A$81,G$4,'Objectifs par module'!$D$5:$D$81,$A12)</f>
        <v/>
      </c>
      <c r="H12" s="42">
        <f>COUNTIFS('Objectifs par module'!$A$5:$A$81,H$4,'Objectifs par module'!$D$5:$D$81,$A12)</f>
        <v/>
      </c>
      <c r="I12" s="42">
        <f>COUNTIFS('Objectifs par module'!$A$5:$A$81,I$4,'Objectifs par module'!$D$5:$D$81,$A12)</f>
        <v/>
      </c>
      <c r="J12" s="42">
        <f>COUNTIFS('Objectifs par module'!$A$5:$A$81,J$4,'Objectifs par module'!$D$5:$D$81,$A12)</f>
        <v/>
      </c>
      <c r="K12" s="42">
        <f>COUNTIFS('Objectifs par module'!$A$5:$A$81,K$4,'Objectifs par module'!$D$5:$D$81,$A12)</f>
        <v/>
      </c>
      <c r="L12" s="42">
        <f>COUNTIFS('Objectifs par module'!$A$5:$A$81,L$4,'Objectifs par module'!$D$5:$D$81,$A12)</f>
        <v/>
      </c>
      <c r="M12" s="42">
        <f>COUNTIFS('Objectifs par module'!$A$5:$A$81,M$4,'Objectifs par module'!$D$5:$D$81,$A12)</f>
        <v/>
      </c>
      <c r="N12" s="42">
        <f>COUNTIFS('Objectifs par module'!$A$5:$A$81,N$4,'Objectifs par module'!$D$5:$D$81,$A12)</f>
        <v/>
      </c>
      <c r="O12" s="42">
        <f>COUNTIFS('Objectifs par module'!$A$5:$A$81,O$4,'Objectifs par module'!$D$5:$D$81,$A12)</f>
        <v/>
      </c>
      <c r="P12" s="42">
        <f>COUNTIFS('Objectifs par module'!$A$5:$A$81,P$4,'Objectifs par module'!$D$5:$D$81,$A12)</f>
        <v/>
      </c>
      <c r="Q12" s="42">
        <f>COUNTIFS('Objectifs par module'!$A$5:$A$81,Q$4,'Objectifs par module'!$D$5:$D$81,$A12)</f>
        <v/>
      </c>
      <c r="R12" s="42">
        <f>COUNTIFS('Objectifs par module'!$A$5:$A$81,R$4,'Objectifs par module'!$D$5:$D$81,$A12)</f>
        <v/>
      </c>
      <c r="S12" s="18">
        <f>SUM(C12:R12)</f>
        <v/>
      </c>
      <c r="T12" s="42">
        <f>IF(S12=0,"NON COUVERT",IF(S12=1,"un seul module","couvert"))</f>
        <v/>
      </c>
    </row>
    <row r="13" ht="28" customHeight="1">
      <c r="A13" s="40" t="inlineStr">
        <is>
          <t>B.3</t>
        </is>
      </c>
      <c r="B13" s="41" t="inlineStr">
        <is>
          <t>Pouvoir, par l'exécution d'une batterie de tests (JUnit) implémentée par un tiers, repérer et débugger des problèmes simples dans des classes Java implémentées par un tiers</t>
        </is>
      </c>
      <c r="C13" s="42">
        <f>COUNTIFS('Objectifs par module'!$A$5:$A$81,C$4,'Objectifs par module'!$D$5:$D$81,$A13)</f>
        <v/>
      </c>
      <c r="D13" s="42">
        <f>COUNTIFS('Objectifs par module'!$A$5:$A$81,D$4,'Objectifs par module'!$D$5:$D$81,$A13)</f>
        <v/>
      </c>
      <c r="E13" s="42">
        <f>COUNTIFS('Objectifs par module'!$A$5:$A$81,E$4,'Objectifs par module'!$D$5:$D$81,$A13)</f>
        <v/>
      </c>
      <c r="F13" s="42">
        <f>COUNTIFS('Objectifs par module'!$A$5:$A$81,F$4,'Objectifs par module'!$D$5:$D$81,$A13)</f>
        <v/>
      </c>
      <c r="G13" s="42">
        <f>COUNTIFS('Objectifs par module'!$A$5:$A$81,G$4,'Objectifs par module'!$D$5:$D$81,$A13)</f>
        <v/>
      </c>
      <c r="H13" s="42">
        <f>COUNTIFS('Objectifs par module'!$A$5:$A$81,H$4,'Objectifs par module'!$D$5:$D$81,$A13)</f>
        <v/>
      </c>
      <c r="I13" s="42">
        <f>COUNTIFS('Objectifs par module'!$A$5:$A$81,I$4,'Objectifs par module'!$D$5:$D$81,$A13)</f>
        <v/>
      </c>
      <c r="J13" s="42">
        <f>COUNTIFS('Objectifs par module'!$A$5:$A$81,J$4,'Objectifs par module'!$D$5:$D$81,$A13)</f>
        <v/>
      </c>
      <c r="K13" s="42">
        <f>COUNTIFS('Objectifs par module'!$A$5:$A$81,K$4,'Objectifs par module'!$D$5:$D$81,$A13)</f>
        <v/>
      </c>
      <c r="L13" s="42">
        <f>COUNTIFS('Objectifs par module'!$A$5:$A$81,L$4,'Objectifs par module'!$D$5:$D$81,$A13)</f>
        <v/>
      </c>
      <c r="M13" s="42">
        <f>COUNTIFS('Objectifs par module'!$A$5:$A$81,M$4,'Objectifs par module'!$D$5:$D$81,$A13)</f>
        <v/>
      </c>
      <c r="N13" s="42">
        <f>COUNTIFS('Objectifs par module'!$A$5:$A$81,N$4,'Objectifs par module'!$D$5:$D$81,$A13)</f>
        <v/>
      </c>
      <c r="O13" s="42">
        <f>COUNTIFS('Objectifs par module'!$A$5:$A$81,O$4,'Objectifs par module'!$D$5:$D$81,$A13)</f>
        <v/>
      </c>
      <c r="P13" s="42">
        <f>COUNTIFS('Objectifs par module'!$A$5:$A$81,P$4,'Objectifs par module'!$D$5:$D$81,$A13)</f>
        <v/>
      </c>
      <c r="Q13" s="42">
        <f>COUNTIFS('Objectifs par module'!$A$5:$A$81,Q$4,'Objectifs par module'!$D$5:$D$81,$A13)</f>
        <v/>
      </c>
      <c r="R13" s="42">
        <f>COUNTIFS('Objectifs par module'!$A$5:$A$81,R$4,'Objectifs par module'!$D$5:$D$81,$A13)</f>
        <v/>
      </c>
      <c r="S13" s="18">
        <f>SUM(C13:R13)</f>
        <v/>
      </c>
      <c r="T13" s="42">
        <f>IF(S13=0,"NON COUVERT",IF(S13=1,"un seul module","couvert"))</f>
        <v/>
      </c>
    </row>
    <row r="14" ht="28" customHeight="1">
      <c r="A14" s="40" t="inlineStr">
        <is>
          <t>C.1</t>
        </is>
      </c>
      <c r="B14" s="41" t="inlineStr">
        <is>
          <t>Pouvoir justifier les choix de types d'attributs, d'appartenance des attributs et méthodes à l'une ou l'autre classe, et des interfaces de communication entre classes</t>
        </is>
      </c>
      <c r="C14" s="42">
        <f>COUNTIFS('Objectifs par module'!$A$5:$A$81,C$4,'Objectifs par module'!$D$5:$D$81,$A14)</f>
        <v/>
      </c>
      <c r="D14" s="42">
        <f>COUNTIFS('Objectifs par module'!$A$5:$A$81,D$4,'Objectifs par module'!$D$5:$D$81,$A14)</f>
        <v/>
      </c>
      <c r="E14" s="42">
        <f>COUNTIFS('Objectifs par module'!$A$5:$A$81,E$4,'Objectifs par module'!$D$5:$D$81,$A14)</f>
        <v/>
      </c>
      <c r="F14" s="42">
        <f>COUNTIFS('Objectifs par module'!$A$5:$A$81,F$4,'Objectifs par module'!$D$5:$D$81,$A14)</f>
        <v/>
      </c>
      <c r="G14" s="42">
        <f>COUNTIFS('Objectifs par module'!$A$5:$A$81,G$4,'Objectifs par module'!$D$5:$D$81,$A14)</f>
        <v/>
      </c>
      <c r="H14" s="42">
        <f>COUNTIFS('Objectifs par module'!$A$5:$A$81,H$4,'Objectifs par module'!$D$5:$D$81,$A14)</f>
        <v/>
      </c>
      <c r="I14" s="42">
        <f>COUNTIFS('Objectifs par module'!$A$5:$A$81,I$4,'Objectifs par module'!$D$5:$D$81,$A14)</f>
        <v/>
      </c>
      <c r="J14" s="42">
        <f>COUNTIFS('Objectifs par module'!$A$5:$A$81,J$4,'Objectifs par module'!$D$5:$D$81,$A14)</f>
        <v/>
      </c>
      <c r="K14" s="42">
        <f>COUNTIFS('Objectifs par module'!$A$5:$A$81,K$4,'Objectifs par module'!$D$5:$D$81,$A14)</f>
        <v/>
      </c>
      <c r="L14" s="42">
        <f>COUNTIFS('Objectifs par module'!$A$5:$A$81,L$4,'Objectifs par module'!$D$5:$D$81,$A14)</f>
        <v/>
      </c>
      <c r="M14" s="42">
        <f>COUNTIFS('Objectifs par module'!$A$5:$A$81,M$4,'Objectifs par module'!$D$5:$D$81,$A14)</f>
        <v/>
      </c>
      <c r="N14" s="42">
        <f>COUNTIFS('Objectifs par module'!$A$5:$A$81,N$4,'Objectifs par module'!$D$5:$D$81,$A14)</f>
        <v/>
      </c>
      <c r="O14" s="42">
        <f>COUNTIFS('Objectifs par module'!$A$5:$A$81,O$4,'Objectifs par module'!$D$5:$D$81,$A14)</f>
        <v/>
      </c>
      <c r="P14" s="42">
        <f>COUNTIFS('Objectifs par module'!$A$5:$A$81,P$4,'Objectifs par module'!$D$5:$D$81,$A14)</f>
        <v/>
      </c>
      <c r="Q14" s="42">
        <f>COUNTIFS('Objectifs par module'!$A$5:$A$81,Q$4,'Objectifs par module'!$D$5:$D$81,$A14)</f>
        <v/>
      </c>
      <c r="R14" s="42">
        <f>COUNTIFS('Objectifs par module'!$A$5:$A$81,R$4,'Objectifs par module'!$D$5:$D$81,$A14)</f>
        <v/>
      </c>
      <c r="S14" s="18">
        <f>SUM(C14:R14)</f>
        <v/>
      </c>
      <c r="T14" s="42">
        <f>IF(S14=0,"NON COUVERT",IF(S14=1,"un seul module","couvert"))</f>
        <v/>
      </c>
    </row>
    <row r="15" ht="28" customHeight="1">
      <c r="A15" s="40" t="inlineStr">
        <is>
          <t>C.2</t>
        </is>
      </c>
      <c r="B15" s="41" t="inlineStr">
        <is>
          <t>Pouvoir justifier ses choix quant aux tests implémentés</t>
        </is>
      </c>
      <c r="C15" s="42">
        <f>COUNTIFS('Objectifs par module'!$A$5:$A$81,C$4,'Objectifs par module'!$D$5:$D$81,$A15)</f>
        <v/>
      </c>
      <c r="D15" s="42">
        <f>COUNTIFS('Objectifs par module'!$A$5:$A$81,D$4,'Objectifs par module'!$D$5:$D$81,$A15)</f>
        <v/>
      </c>
      <c r="E15" s="42">
        <f>COUNTIFS('Objectifs par module'!$A$5:$A$81,E$4,'Objectifs par module'!$D$5:$D$81,$A15)</f>
        <v/>
      </c>
      <c r="F15" s="42">
        <f>COUNTIFS('Objectifs par module'!$A$5:$A$81,F$4,'Objectifs par module'!$D$5:$D$81,$A15)</f>
        <v/>
      </c>
      <c r="G15" s="42">
        <f>COUNTIFS('Objectifs par module'!$A$5:$A$81,G$4,'Objectifs par module'!$D$5:$D$81,$A15)</f>
        <v/>
      </c>
      <c r="H15" s="42">
        <f>COUNTIFS('Objectifs par module'!$A$5:$A$81,H$4,'Objectifs par module'!$D$5:$D$81,$A15)</f>
        <v/>
      </c>
      <c r="I15" s="42">
        <f>COUNTIFS('Objectifs par module'!$A$5:$A$81,I$4,'Objectifs par module'!$D$5:$D$81,$A15)</f>
        <v/>
      </c>
      <c r="J15" s="42">
        <f>COUNTIFS('Objectifs par module'!$A$5:$A$81,J$4,'Objectifs par module'!$D$5:$D$81,$A15)</f>
        <v/>
      </c>
      <c r="K15" s="42">
        <f>COUNTIFS('Objectifs par module'!$A$5:$A$81,K$4,'Objectifs par module'!$D$5:$D$81,$A15)</f>
        <v/>
      </c>
      <c r="L15" s="42">
        <f>COUNTIFS('Objectifs par module'!$A$5:$A$81,L$4,'Objectifs par module'!$D$5:$D$81,$A15)</f>
        <v/>
      </c>
      <c r="M15" s="42">
        <f>COUNTIFS('Objectifs par module'!$A$5:$A$81,M$4,'Objectifs par module'!$D$5:$D$81,$A15)</f>
        <v/>
      </c>
      <c r="N15" s="42">
        <f>COUNTIFS('Objectifs par module'!$A$5:$A$81,N$4,'Objectifs par module'!$D$5:$D$81,$A15)</f>
        <v/>
      </c>
      <c r="O15" s="42">
        <f>COUNTIFS('Objectifs par module'!$A$5:$A$81,O$4,'Objectifs par module'!$D$5:$D$81,$A15)</f>
        <v/>
      </c>
      <c r="P15" s="42">
        <f>COUNTIFS('Objectifs par module'!$A$5:$A$81,P$4,'Objectifs par module'!$D$5:$D$81,$A15)</f>
        <v/>
      </c>
      <c r="Q15" s="42">
        <f>COUNTIFS('Objectifs par module'!$A$5:$A$81,Q$4,'Objectifs par module'!$D$5:$D$81,$A15)</f>
        <v/>
      </c>
      <c r="R15" s="42">
        <f>COUNTIFS('Objectifs par module'!$A$5:$A$81,R$4,'Objectifs par module'!$D$5:$D$81,$A15)</f>
        <v/>
      </c>
      <c r="S15" s="18">
        <f>SUM(C15:R15)</f>
        <v/>
      </c>
      <c r="T15" s="42">
        <f>IF(S15=0,"NON COUVERT",IF(S15=1,"un seul module","couvert"))</f>
        <v/>
      </c>
    </row>
    <row r="17">
      <c r="A17" s="10" t="inlineStr">
        <is>
          <t>Comment lire ce tableau</t>
        </is>
      </c>
    </row>
    <row r="18">
      <c r="A18" s="25" t="inlineStr">
        <is>
          <t>Un zéro signale un objectif de l'examen qu'aucun module ne porte.</t>
        </is>
      </c>
    </row>
    <row r="19">
      <c r="A19" s="25" t="inlineStr">
        <is>
          <t>Un 1 signale un objectif tenu par un seul module : si ce module saute, l'objectif saute avec lui.</t>
        </is>
      </c>
    </row>
    <row r="20">
      <c r="A20" s="25" t="inlineStr">
        <is>
          <t>Pour rattacher autrement un objectif, changez la colonne D de la feuille précédente.</t>
        </is>
      </c>
    </row>
  </sheetData>
  <mergeCells count="2">
    <mergeCell ref="A1:T1"/>
    <mergeCell ref="A2:T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34" customWidth="1" min="1" max="1"/>
    <col width="11" customWidth="1" min="2" max="2"/>
    <col width="11" customWidth="1" min="3" max="3"/>
    <col width="80" customWidth="1" min="4" max="4"/>
  </cols>
  <sheetData>
    <row r="1" ht="26" customHeight="1">
      <c r="A1" s="1" t="inlineStr">
        <is>
          <t>Ce qui a ete verifie, et ce qui reste</t>
        </is>
      </c>
    </row>
    <row r="2" ht="18" customHeight="1">
      <c r="A2" s="2" t="inlineStr">
        <is>
          <t>« Livre » ne dit pas « teste ». Cette feuille distingue les deux.</t>
        </is>
      </c>
    </row>
    <row r="4" ht="32" customHeight="1">
      <c r="A4" s="3" t="inlineStr">
        <is>
          <t>Ce qui est verifie</t>
        </is>
      </c>
      <c r="B4" s="3" t="inlineStr">
        <is>
          <t>Etat</t>
        </is>
      </c>
      <c r="C4" s="3" t="inlineStr">
        <is>
          <t>Quand</t>
        </is>
      </c>
      <c r="D4" s="3" t="inlineStr">
        <is>
          <t>Ce qui en est ressorti</t>
        </is>
      </c>
    </row>
    <row r="5" ht="46" customHeight="1">
      <c r="A5" s="43" t="inlineStr">
        <is>
          <t>Exercices — compilation et tests</t>
        </is>
      </c>
      <c r="B5" s="44" t="inlineStr">
        <is>
          <t>fait</t>
        </is>
      </c>
      <c r="C5" s="13" t="inlineStr">
        <is>
          <t>14-15/09</t>
        </is>
      </c>
      <c r="D5" s="12" t="inlineStr">
        <is>
          <t>Les 70 squelettes lances par le professeur. Tests rouges la ou ils doivent l'etre. Defauts trouves : PLACES_MAX non declare dans STA.1, et 52 tests verts des le depart — trois phenomenes distincts, expliques dans le memento des exercices.</t>
        </is>
      </c>
    </row>
    <row r="6" ht="46" customHeight="1">
      <c r="A6" s="43" t="inlineStr">
        <is>
          <t>Solutions — compilation et execution</t>
        </is>
      </c>
      <c r="B6" s="35" t="inlineStr">
        <is>
          <t>en cours</t>
        </is>
      </c>
      <c r="C6" s="13" t="inlineStr">
        <is>
          <t>15/09</t>
        </is>
      </c>
      <c r="D6" s="12" t="inlineStr">
        <is>
          <t>Corriges lances un par un. Defauts trouves : JUN.3 n'avait aucun corrige, nombres magiques dans COL.1 et COL.6, affichage ligne par ligne dans ENU.3, programmes qui questionnent sans s'annoncer (POO.4, POO.5, TMP.1, TMP.3, TAB.1, TAB.2, EXC.4).</t>
        </is>
      </c>
    </row>
    <row r="7" ht="46" customHeight="1">
      <c r="A7" s="43" t="inlineStr">
        <is>
          <t>Enonces — relecture detaillee</t>
        </is>
      </c>
      <c r="B7" s="35" t="inlineStr">
        <is>
          <t>en cours</t>
        </is>
      </c>
      <c r="C7" s="13" t="inlineStr">
        <is>
          <t>15/09</t>
        </is>
      </c>
      <c r="D7" s="12" t="inlineStr">
        <is>
          <t>Lecture des 15 fascicules et des 5 documents de reference. Defauts trouves : comptes d'exercices perimes, IDE.9 decrivant un ecran invisible, section Git qui se contredisait, 3 renvois absents des documents, et les .docx casses par l'outil de typographie.</t>
        </is>
      </c>
    </row>
    <row r="8" ht="46" customHeight="1">
      <c r="A8" s="43" t="inlineStr">
        <is>
          <t>Classes de test — execution</t>
        </is>
      </c>
      <c r="B8" s="44" t="inlineStr">
        <is>
          <t>fait</t>
        </is>
      </c>
      <c r="C8" s="13" t="inlineStr">
        <is>
          <t>14/09</t>
        </is>
      </c>
      <c r="D8" s="12" t="inlineStr">
        <is>
          <t>60 classes, 15 themes. FX n'en a aucune, par choix : ses exercices ouvrent une fenetre et ne se verifient qu'a l'oeil.</t>
        </is>
      </c>
    </row>
    <row r="9" ht="46" customHeight="1">
      <c r="A9" s="43" t="inlineStr">
        <is>
          <t>GameHub — les 30 increments</t>
        </is>
      </c>
      <c r="B9" s="44" t="inlineStr">
        <is>
          <t>fait</t>
        </is>
      </c>
      <c r="C9" s="13" t="inlineStr">
        <is>
          <t>13/09</t>
        </is>
      </c>
      <c r="D9" s="12" t="inlineStr">
        <is>
          <t>Les 30 etats reconstitues compilent, verifies par le compilateur du JDK a chaque generation du depot.</t>
        </is>
      </c>
    </row>
    <row r="10" ht="46" customHeight="1">
      <c r="A10" s="43" t="inlineStr">
        <is>
          <t>Demineur — tests et jeu</t>
        </is>
      </c>
      <c r="B10" s="45" t="inlineStr">
        <is>
          <t>a faire</t>
        </is>
      </c>
      <c r="C10" s="13" t="inlineStr"/>
      <c r="D10" s="12" t="inlineStr">
        <is>
          <t>Ni les 10 tests de GrilleTest ni le jeu lui-meme n'ont ete lances. Exercice facultatif : a valider avant de le proposer.</t>
        </is>
      </c>
    </row>
    <row r="11" ht="46" customHeight="1">
      <c r="A11" s="43" t="inlineStr">
        <is>
          <t>JavaFX — les 8 exercices et les 2 demos</t>
        </is>
      </c>
      <c r="B11" s="44" t="inlineStr">
        <is>
          <t>fait</t>
        </is>
      </c>
      <c r="C11" s="13" t="inlineStr">
        <is>
          <t>15/09</t>
        </is>
      </c>
      <c r="D11" s="12" t="inlineStr">
        <is>
          <t>Les 8 exercices FX tournent, ainsi que LanceurClic et LanceurPropagation. Les classes Lanceur, ajoutees le 14/09, sont donc eprouvees sur les trois projets : recueil, demos et demineur.</t>
        </is>
      </c>
    </row>
    <row r="12" ht="46" customHeight="1">
      <c r="A12" s="43" t="inlineStr">
        <is>
          <t>JavaFX — FX.8 (bindings) et pom.xml</t>
        </is>
      </c>
      <c r="B12" s="45" t="inlineStr">
        <is>
          <t>a faire</t>
        </is>
      </c>
      <c r="C12" s="13" t="inlineStr"/>
      <c r="D12" s="12" t="inlineStr">
        <is>
          <t>FX.8 et son corrige ont ete ecrits le 11/10 sans JavaFX disponible : ni compiles ni lances. La calculatrice est passee de e08 a e09 (package, FXML, fx:controller) : a relancer. Le pom designe desormais ClicApp (demos) et fx.e01 (exercices, solutions) pour javafx:run : a essayer.</t>
        </is>
      </c>
    </row>
    <row r="13" ht="46" customHeight="1">
      <c r="A13" s="43" t="inlineStr">
        <is>
          <t>Captures d'ecran sous Windows</t>
        </is>
      </c>
      <c r="B13" s="45" t="inlineStr">
        <is>
          <t>a faire</t>
        </is>
      </c>
      <c r="C13" s="13" t="inlineStr"/>
      <c r="D13" s="12" t="inlineStr">
        <is>
          <t>Les 23 captures du guide et du document Git viennent d'un macOS. Nice to have, voir le todo.</t>
        </is>
      </c>
    </row>
    <row r="15" ht="30" customHeight="1">
      <c r="A15" s="46" t="inlineStr">
        <is>
          <t>Une verification qui trouve des defauts est une verification qui a servi. Les vingt-trois defauts listes ci-dessus etaient tous invisibles a la relecture du code.</t>
        </is>
      </c>
    </row>
  </sheetData>
  <mergeCells count="3">
    <mergeCell ref="A1:D1"/>
    <mergeCell ref="A2:D2"/>
    <mergeCell ref="A15:D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2026-10-11T09:48:33Z</dcterms:created>
  <dcterms:modified xmlns:dcterms="http://purl.org/dc/terms/" xmlns:xsi="http://www.w3.org/2001/XMLSchema-instance" xsi:type="dcterms:W3CDTF">2026-10-11T09:48:33Z</dcterms:modified>
</cp:coreProperties>
</file>